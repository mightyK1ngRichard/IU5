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ightyk1ngrichard/Downloads/МГТУ/Виноградова/ДЗ2/"/>
    </mc:Choice>
  </mc:AlternateContent>
  <xr:revisionPtr revIDLastSave="0" documentId="13_ncr:1_{45878660-56DE-984C-B851-C734E5C9615B}" xr6:coauthVersionLast="47" xr6:coauthVersionMax="47" xr10:uidLastSave="{00000000-0000-0000-0000-000000000000}"/>
  <bookViews>
    <workbookView xWindow="0" yWindow="660" windowWidth="29440" windowHeight="19840" tabRatio="500" xr2:uid="{00000000-000D-0000-FFFF-FFFF00000000}"/>
  </bookViews>
  <sheets>
    <sheet name="Параметры" sheetId="1" r:id="rId1"/>
    <sheet name="3.1 — sel подзапроса" sheetId="2" r:id="rId2"/>
    <sheet name="3.2 — sel внешней" sheetId="3" r:id="rId3"/>
    <sheet name="3.3 — количество" sheetId="4" r:id="rId4"/>
    <sheet name="Сводка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5" l="1"/>
  <c r="E28" i="4"/>
  <c r="D28" i="4"/>
  <c r="B28" i="4"/>
  <c r="A28" i="4"/>
  <c r="E27" i="4"/>
  <c r="D27" i="4"/>
  <c r="A27" i="4"/>
  <c r="E26" i="4"/>
  <c r="D26" i="4"/>
  <c r="C26" i="4"/>
  <c r="F26" i="4" s="1"/>
  <c r="B26" i="4"/>
  <c r="A26" i="4"/>
  <c r="E25" i="4"/>
  <c r="D25" i="4"/>
  <c r="A25" i="4"/>
  <c r="E24" i="4"/>
  <c r="H7" i="5" s="1"/>
  <c r="D24" i="4"/>
  <c r="B24" i="4"/>
  <c r="A24" i="4"/>
  <c r="I19" i="4"/>
  <c r="H19" i="4"/>
  <c r="C28" i="4" s="1"/>
  <c r="F28" i="4" s="1"/>
  <c r="I18" i="4"/>
  <c r="H18" i="4"/>
  <c r="C27" i="4" s="1"/>
  <c r="F27" i="4" s="1"/>
  <c r="I17" i="4"/>
  <c r="H17" i="4"/>
  <c r="I16" i="4"/>
  <c r="H16" i="4"/>
  <c r="C25" i="4" s="1"/>
  <c r="F25" i="4" s="1"/>
  <c r="I15" i="4"/>
  <c r="H15" i="4"/>
  <c r="C24" i="4" s="1"/>
  <c r="I10" i="4"/>
  <c r="H10" i="4"/>
  <c r="I9" i="4"/>
  <c r="H9" i="4"/>
  <c r="B27" i="4" s="1"/>
  <c r="I8" i="4"/>
  <c r="H8" i="4"/>
  <c r="I7" i="4"/>
  <c r="H7" i="4"/>
  <c r="B25" i="4" s="1"/>
  <c r="I6" i="4"/>
  <c r="H6" i="4"/>
  <c r="E37" i="3"/>
  <c r="D37" i="3"/>
  <c r="B37" i="3"/>
  <c r="A37" i="3"/>
  <c r="E36" i="3"/>
  <c r="D36" i="3"/>
  <c r="C36" i="3"/>
  <c r="B36" i="3"/>
  <c r="F36" i="3" s="1"/>
  <c r="A36" i="3"/>
  <c r="E35" i="3"/>
  <c r="D35" i="3"/>
  <c r="B35" i="3"/>
  <c r="A35" i="3"/>
  <c r="F34" i="3"/>
  <c r="E34" i="3"/>
  <c r="D34" i="3"/>
  <c r="C34" i="3"/>
  <c r="B34" i="3"/>
  <c r="A34" i="3"/>
  <c r="E33" i="3"/>
  <c r="D33" i="3"/>
  <c r="B33" i="3"/>
  <c r="A33" i="3"/>
  <c r="F32" i="3"/>
  <c r="E32" i="3"/>
  <c r="D32" i="3"/>
  <c r="C32" i="3"/>
  <c r="B32" i="3"/>
  <c r="A32" i="3"/>
  <c r="E31" i="3"/>
  <c r="H6" i="5" s="1"/>
  <c r="D31" i="3"/>
  <c r="B31" i="3"/>
  <c r="A31" i="3"/>
  <c r="F30" i="3"/>
  <c r="E30" i="3"/>
  <c r="D30" i="3"/>
  <c r="G6" i="5" s="1"/>
  <c r="C30" i="3"/>
  <c r="B30" i="3"/>
  <c r="E6" i="5" s="1"/>
  <c r="A30" i="3"/>
  <c r="I25" i="3"/>
  <c r="H25" i="3"/>
  <c r="C37" i="3" s="1"/>
  <c r="F37" i="3" s="1"/>
  <c r="I24" i="3"/>
  <c r="H24" i="3"/>
  <c r="I23" i="3"/>
  <c r="H23" i="3"/>
  <c r="C35" i="3" s="1"/>
  <c r="F35" i="3" s="1"/>
  <c r="I22" i="3"/>
  <c r="H22" i="3"/>
  <c r="I21" i="3"/>
  <c r="H21" i="3"/>
  <c r="C33" i="3" s="1"/>
  <c r="F33" i="3" s="1"/>
  <c r="I20" i="3"/>
  <c r="H20" i="3"/>
  <c r="I19" i="3"/>
  <c r="H19" i="3"/>
  <c r="C31" i="3" s="1"/>
  <c r="F31" i="3" s="1"/>
  <c r="I18" i="3"/>
  <c r="H18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E37" i="2"/>
  <c r="D37" i="2"/>
  <c r="B37" i="2"/>
  <c r="A37" i="2"/>
  <c r="F36" i="2"/>
  <c r="E36" i="2"/>
  <c r="D36" i="2"/>
  <c r="C36" i="2"/>
  <c r="B36" i="2"/>
  <c r="A36" i="2"/>
  <c r="E35" i="2"/>
  <c r="D35" i="2"/>
  <c r="B35" i="2"/>
  <c r="A35" i="2"/>
  <c r="E34" i="2"/>
  <c r="D34" i="2"/>
  <c r="C34" i="2"/>
  <c r="B34" i="2"/>
  <c r="F34" i="2" s="1"/>
  <c r="A34" i="2"/>
  <c r="E33" i="2"/>
  <c r="D33" i="2"/>
  <c r="B33" i="2"/>
  <c r="A33" i="2"/>
  <c r="E32" i="2"/>
  <c r="D32" i="2"/>
  <c r="C32" i="2"/>
  <c r="B32" i="2"/>
  <c r="F32" i="2" s="1"/>
  <c r="A32" i="2"/>
  <c r="E31" i="2"/>
  <c r="D31" i="2"/>
  <c r="B31" i="2"/>
  <c r="A31" i="2"/>
  <c r="E30" i="2"/>
  <c r="H5" i="5" s="1"/>
  <c r="D30" i="2"/>
  <c r="G5" i="5" s="1"/>
  <c r="C30" i="2"/>
  <c r="B30" i="2"/>
  <c r="E5" i="5" s="1"/>
  <c r="A30" i="2"/>
  <c r="I25" i="2"/>
  <c r="H25" i="2"/>
  <c r="C37" i="2" s="1"/>
  <c r="F37" i="2" s="1"/>
  <c r="I24" i="2"/>
  <c r="H24" i="2"/>
  <c r="I23" i="2"/>
  <c r="H23" i="2"/>
  <c r="C35" i="2" s="1"/>
  <c r="F35" i="2" s="1"/>
  <c r="I22" i="2"/>
  <c r="H22" i="2"/>
  <c r="I21" i="2"/>
  <c r="H21" i="2"/>
  <c r="C33" i="2" s="1"/>
  <c r="F33" i="2" s="1"/>
  <c r="I20" i="2"/>
  <c r="H20" i="2"/>
  <c r="I19" i="2"/>
  <c r="H19" i="2"/>
  <c r="C31" i="2" s="1"/>
  <c r="F31" i="2" s="1"/>
  <c r="I18" i="2"/>
  <c r="H18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E7" i="5" l="1"/>
  <c r="I6" i="5"/>
  <c r="F24" i="4"/>
  <c r="I7" i="5" s="1"/>
  <c r="F7" i="5"/>
  <c r="F6" i="5"/>
  <c r="F5" i="5"/>
  <c r="F30" i="2"/>
  <c r="I5" i="5" s="1"/>
</calcChain>
</file>

<file path=xl/sharedStrings.xml><?xml version="1.0" encoding="utf-8"?>
<sst xmlns="http://schemas.openxmlformats.org/spreadsheetml/2006/main" count="150" uniqueCount="82">
  <si>
    <t>ДЗ № 2 по курсу «Постреляционные базы данных», 2026 г.</t>
  </si>
  <si>
    <t>Вариант 5: индекс №1 = GIN, индекс №2 = BRIN. Пермяков Д. К.</t>
  </si>
  <si>
    <t>Предметная область</t>
  </si>
  <si>
    <t>Детская спортивная школа</t>
  </si>
  <si>
    <t>Таблица 1 (tab1, внешняя)</t>
  </si>
  <si>
    <t>students (ученики)</t>
  </si>
  <si>
    <t>Индексное поле tab1</t>
  </si>
  <si>
    <t>disciplines TEXT[]  —  GIN-индекс</t>
  </si>
  <si>
    <t>Таблица 2 (tab2, подзапрос)</t>
  </si>
  <si>
    <t>trainings (журнал тренировок)</t>
  </si>
  <si>
    <t>Индексное поле tab2</t>
  </si>
  <si>
    <t>training_date TIMESTAMP  —  BRIN-индекс</t>
  </si>
  <si>
    <t>Целевое значение GIN</t>
  </si>
  <si>
    <t>'Футбол' (доля sel1 учеников)</t>
  </si>
  <si>
    <t>Целевое значение BRIN</t>
  </si>
  <si>
    <t>интервал длиной sel2 % от 5-летнего периода</t>
  </si>
  <si>
    <t>Базовый запрос</t>
  </si>
  <si>
    <t>SELECT * FROM students s WHERE s.disciplines &amp;&amp; ARRAY(SELECT DISTINCT t.discipline FROM trainings t WHERE t.training_date BETWEEN :d1 AND :d2);</t>
  </si>
  <si>
    <t>Контрольная БД</t>
  </si>
  <si>
    <t>sport_school_noidx</t>
  </si>
  <si>
    <t>БД с индексами</t>
  </si>
  <si>
    <t>sport_school_idx</t>
  </si>
  <si>
    <t>Период данных</t>
  </si>
  <si>
    <t>2021-01-01 … 2025-12-31 (1827 дней)</t>
  </si>
  <si>
    <t>Повторов одного измерения</t>
  </si>
  <si>
    <t>5</t>
  </si>
  <si>
    <t>Серия 3.1</t>
  </si>
  <si>
    <t>Фикс: n_students=1000, n_trainings=1000, sel1=10%; Варьируется: sel2 ∈ {1,2,3,5,10,15,20,30}%</t>
  </si>
  <si>
    <t>Серия 3.2</t>
  </si>
  <si>
    <t>Фикс: n_students=1000, n_trainings=1000, sel2=10%; Варьируется: sel1 ∈ {1,2,3,5,10,15,20,30}%</t>
  </si>
  <si>
    <t>Серия 3.3</t>
  </si>
  <si>
    <t>Фикс: sel1=sel2=10%; Варьируется: n ∈ {100, 1000, 10 000, 100 000, 1 000 000}</t>
  </si>
  <si>
    <t>Условные обозначения:</t>
  </si>
  <si>
    <t>cost (USD)</t>
  </si>
  <si>
    <t>Суммарная стоимость плана (Total Cost), EXPLAIN</t>
  </si>
  <si>
    <t>t_i (мс)</t>
  </si>
  <si>
    <t>Реальное Execution time из EXPLAIN ANALYZE, i = 1..5</t>
  </si>
  <si>
    <t>avg (мс)</t>
  </si>
  <si>
    <t>Среднее по 5 запускам = AVERAGE(t1:t5)</t>
  </si>
  <si>
    <t>σ (мс)</t>
  </si>
  <si>
    <t>Среднеквадратичное отклонение = STDEV(t1:t5)</t>
  </si>
  <si>
    <t>Серия: 3.1 — sel подзапроса</t>
  </si>
  <si>
    <t>Зафиксировано: n_students = 1000, n_trainings = 1000, sel1 = 10 %</t>
  </si>
  <si>
    <t>С индексами (GIN + BRIN)</t>
  </si>
  <si>
    <t>№</t>
  </si>
  <si>
    <t>sel2, %</t>
  </si>
  <si>
    <t>t1, мс</t>
  </si>
  <si>
    <t>t2, мс</t>
  </si>
  <si>
    <t>t3, мс</t>
  </si>
  <si>
    <t>t4, мс</t>
  </si>
  <si>
    <t>t5, мс</t>
  </si>
  <si>
    <t>avg, мс</t>
  </si>
  <si>
    <t>σ, мс</t>
  </si>
  <si>
    <t>cost</t>
  </si>
  <si>
    <t>Без индексов (только PK)</t>
  </si>
  <si>
    <t>Сводная (для графиков)</t>
  </si>
  <si>
    <t>avg_idx, мс</t>
  </si>
  <si>
    <t>avg_noidx, мс</t>
  </si>
  <si>
    <t>cost_idx</t>
  </si>
  <si>
    <t>cost_noidx</t>
  </si>
  <si>
    <t>speedup, раз</t>
  </si>
  <si>
    <t>Серия: 3.2 — sel внешней</t>
  </si>
  <si>
    <t>Зафиксировано: n_students = 1000, n_trainings = 1000, sel2 = 10 %</t>
  </si>
  <si>
    <t>sel1, %</t>
  </si>
  <si>
    <t>Серия: 3.3 — количество</t>
  </si>
  <si>
    <t>Зафиксировано: sel1 = sel2 = 10 %, n_students = n_trainings = N</t>
  </si>
  <si>
    <t>N (записей)</t>
  </si>
  <si>
    <t>Сводка по всем сериям</t>
  </si>
  <si>
    <t>Серия</t>
  </si>
  <si>
    <t>Что варьируется</t>
  </si>
  <si>
    <t>Точек измерения</t>
  </si>
  <si>
    <t>Среднее avg_idx, мс</t>
  </si>
  <si>
    <t>Среднее avg_noidx, мс</t>
  </si>
  <si>
    <t>Сред. cost_idx</t>
  </si>
  <si>
    <t>Сред. cost_noidx</t>
  </si>
  <si>
    <t>Сред. speedup, раз</t>
  </si>
  <si>
    <t>3.1</t>
  </si>
  <si>
    <t>Селективность подзапроса (tab2)</t>
  </si>
  <si>
    <t>3.2</t>
  </si>
  <si>
    <t>Селективность внешней (tab1)</t>
  </si>
  <si>
    <t>3.3</t>
  </si>
  <si>
    <t>Количество записей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</si>
</sst>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i/>
      <sz val="11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3"/>
      <name val="Arial"/>
      <charset val="1"/>
    </font>
    <font>
      <i/>
      <sz val="10"/>
      <name val="Arial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1F4E78"/>
        <bgColor rgb="FF003366"/>
      </patternFill>
    </fill>
    <fill>
      <patternFill patternType="solid">
        <fgColor rgb="FFFFFFFF"/>
        <bgColor rgb="FFFFF2CC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7" fillId="0" borderId="0" xfId="0" applyFont="1"/>
    <xf numFmtId="0" fontId="7" fillId="6" borderId="0" xfId="0" applyFont="1" applyFill="1"/>
    <xf numFmtId="0" fontId="7" fillId="3" borderId="0" xfId="0" applyFont="1" applyFill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/>
    <xf numFmtId="0" fontId="0" fillId="2" borderId="0" xfId="0" applyFill="1"/>
    <xf numFmtId="0" fontId="5" fillId="0" borderId="0" xfId="0" applyFont="1"/>
    <xf numFmtId="0" fontId="6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B3C992"/>
      <rgbColor rgb="FF808080"/>
      <rgbColor rgb="FF9999FF"/>
      <rgbColor rgb="FFAA433F"/>
      <rgbColor rgb="FFFFF2CC"/>
      <rgbColor rgb="FFCCFFFF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800" b="1" u="none" strike="noStrike">
                <a:solidFill>
                  <a:srgbClr val="000000"/>
                </a:solidFill>
                <a:uFillTx/>
                <a:latin typeface="Calibri"/>
              </a:rPr>
              <a:t>Среднее время выполнения, мс ← Селективность подзапроса (</a:t>
            </a: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tab2),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'3.1 — sel подзапроса'!$B$29</c:f>
              <c:strCache>
                <c:ptCount val="1"/>
                <c:pt idx="0">
                  <c:v>avg_idx, мс</c:v>
                </c:pt>
              </c:strCache>
            </c:strRef>
          </c:tx>
          <c:spPr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'3.1 — sel подзапроса'!$A$30:$A$37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</c:numCache>
            </c:numRef>
          </c:cat>
          <c:val>
            <c:numRef>
              <c:f>'3.1 — sel подзапроса'!$B$30:$B$37</c:f>
              <c:numCache>
                <c:formatCode>0.000</c:formatCode>
                <c:ptCount val="8"/>
                <c:pt idx="0">
                  <c:v>0.254</c:v>
                </c:pt>
                <c:pt idx="1">
                  <c:v>0.21659999999999999</c:v>
                </c:pt>
                <c:pt idx="2">
                  <c:v>0.22599999999999998</c:v>
                </c:pt>
                <c:pt idx="3">
                  <c:v>0.22420000000000001</c:v>
                </c:pt>
                <c:pt idx="4">
                  <c:v>0.24479999999999999</c:v>
                </c:pt>
                <c:pt idx="5">
                  <c:v>0.23899999999999996</c:v>
                </c:pt>
                <c:pt idx="6">
                  <c:v>0.24199999999999999</c:v>
                </c:pt>
                <c:pt idx="7">
                  <c:v>0.25940000000000002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F5-B240-AD29-F45C68AA8F56}"/>
            </c:ext>
          </c:extLst>
        </c:ser>
        <c:ser>
          <c:idx val="1"/>
          <c:order val="1"/>
          <c:tx>
            <c:strRef>
              <c:f>'3.1 — sel подзапроса'!$C$29</c:f>
              <c:strCache>
                <c:ptCount val="1"/>
                <c:pt idx="0">
                  <c:v>avg_noidx, мс</c:v>
                </c:pt>
              </c:strCache>
            </c:strRef>
          </c:tx>
          <c:spPr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'3.1 — sel подзапроса'!$A$30:$A$37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</c:numCache>
            </c:numRef>
          </c:cat>
          <c:val>
            <c:numRef>
              <c:f>'3.1 — sel подзапроса'!$C$30:$C$37</c:f>
              <c:numCache>
                <c:formatCode>0.000</c:formatCode>
                <c:ptCount val="8"/>
                <c:pt idx="0">
                  <c:v>0.2492</c:v>
                </c:pt>
                <c:pt idx="1">
                  <c:v>0.2412</c:v>
                </c:pt>
                <c:pt idx="2">
                  <c:v>0.24780000000000002</c:v>
                </c:pt>
                <c:pt idx="3">
                  <c:v>0.22119999999999998</c:v>
                </c:pt>
                <c:pt idx="4">
                  <c:v>0.24479999999999999</c:v>
                </c:pt>
                <c:pt idx="5">
                  <c:v>0.223</c:v>
                </c:pt>
                <c:pt idx="6">
                  <c:v>0.34340000000000004</c:v>
                </c:pt>
                <c:pt idx="7">
                  <c:v>0.24959999999999999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FF5-B240-AD29-F45C68AA8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1751268"/>
        <c:axId val="64818252"/>
      </c:lineChart>
      <c:catAx>
        <c:axId val="117512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Селективность подзапроса (</a:t>
                </a: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tab2),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64818252"/>
        <c:crosses val="autoZero"/>
        <c:auto val="1"/>
        <c:lblAlgn val="ctr"/>
        <c:lblOffset val="100"/>
        <c:noMultiLvlLbl val="0"/>
      </c:catAx>
      <c:valAx>
        <c:axId val="648182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Execution time, </a:t>
                </a: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117512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Total Cost ← </a:t>
            </a:r>
            <a:r>
              <a:rPr lang="ru-RU" sz="1800" b="1" u="none" strike="noStrike">
                <a:solidFill>
                  <a:srgbClr val="000000"/>
                </a:solidFill>
                <a:uFillTx/>
                <a:latin typeface="Calibri"/>
              </a:rPr>
              <a:t>Селективность подзапроса (</a:t>
            </a: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tab2),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'3.1 — sel подзапроса'!$D$29</c:f>
              <c:strCache>
                <c:ptCount val="1"/>
                <c:pt idx="0">
                  <c:v>cost_idx</c:v>
                </c:pt>
              </c:strCache>
            </c:strRef>
          </c:tx>
          <c:spPr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'3.1 — sel подзапроса'!$A$30:$A$37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</c:numCache>
            </c:numRef>
          </c:cat>
          <c:val>
            <c:numRef>
              <c:f>'3.1 — sel подзапроса'!$D$30:$D$37</c:f>
              <c:numCache>
                <c:formatCode>0.00</c:formatCode>
                <c:ptCount val="8"/>
                <c:pt idx="0">
                  <c:v>55.69</c:v>
                </c:pt>
                <c:pt idx="1">
                  <c:v>55.66</c:v>
                </c:pt>
                <c:pt idx="2">
                  <c:v>55.7</c:v>
                </c:pt>
                <c:pt idx="3">
                  <c:v>55.77</c:v>
                </c:pt>
                <c:pt idx="4">
                  <c:v>55.91</c:v>
                </c:pt>
                <c:pt idx="5">
                  <c:v>56.03</c:v>
                </c:pt>
                <c:pt idx="6">
                  <c:v>56.16</c:v>
                </c:pt>
                <c:pt idx="7">
                  <c:v>55.41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89-5F4E-9825-109822EEB647}"/>
            </c:ext>
          </c:extLst>
        </c:ser>
        <c:ser>
          <c:idx val="1"/>
          <c:order val="1"/>
          <c:tx>
            <c:strRef>
              <c:f>'3.1 — sel подзапроса'!$E$29</c:f>
              <c:strCache>
                <c:ptCount val="1"/>
                <c:pt idx="0">
                  <c:v>cost_noidx</c:v>
                </c:pt>
              </c:strCache>
            </c:strRef>
          </c:tx>
          <c:spPr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'3.1 — sel подзапроса'!$A$30:$A$37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</c:numCache>
            </c:numRef>
          </c:cat>
          <c:val>
            <c:numRef>
              <c:f>'3.1 — sel подзапроса'!$E$30:$E$37</c:f>
              <c:numCache>
                <c:formatCode>0.00</c:formatCode>
                <c:ptCount val="8"/>
                <c:pt idx="0">
                  <c:v>55.69</c:v>
                </c:pt>
                <c:pt idx="1">
                  <c:v>55.66</c:v>
                </c:pt>
                <c:pt idx="2">
                  <c:v>55.7</c:v>
                </c:pt>
                <c:pt idx="3">
                  <c:v>55.77</c:v>
                </c:pt>
                <c:pt idx="4">
                  <c:v>55.91</c:v>
                </c:pt>
                <c:pt idx="5">
                  <c:v>56.03</c:v>
                </c:pt>
                <c:pt idx="6">
                  <c:v>56.16</c:v>
                </c:pt>
                <c:pt idx="7">
                  <c:v>56.41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789-5F4E-9825-109822EEB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0346060"/>
        <c:axId val="42806628"/>
      </c:lineChart>
      <c:catAx>
        <c:axId val="603460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Селективность подзапроса (</a:t>
                </a: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tab2),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42806628"/>
        <c:crosses val="autoZero"/>
        <c:auto val="1"/>
        <c:lblAlgn val="ctr"/>
        <c:lblOffset val="100"/>
        <c:noMultiLvlLbl val="0"/>
      </c:catAx>
      <c:valAx>
        <c:axId val="42806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Total cost (</a:t>
                </a: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попугаи)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603460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800" b="1" u="none" strike="noStrike">
                <a:solidFill>
                  <a:srgbClr val="000000"/>
                </a:solidFill>
                <a:uFillTx/>
                <a:latin typeface="Calibri"/>
              </a:rPr>
              <a:t>Среднее время выполнения, мс ← Селективность внешней таблицы (</a:t>
            </a: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tab1),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'3.2 — sel внешней'!$B$29</c:f>
              <c:strCache>
                <c:ptCount val="1"/>
                <c:pt idx="0">
                  <c:v>avg_idx, мс</c:v>
                </c:pt>
              </c:strCache>
            </c:strRef>
          </c:tx>
          <c:spPr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'3.2 — sel внешней'!$A$30:$A$37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</c:numCache>
            </c:numRef>
          </c:cat>
          <c:val>
            <c:numRef>
              <c:f>'3.2 — sel внешней'!$B$30:$B$37</c:f>
              <c:numCache>
                <c:formatCode>0.000</c:formatCode>
                <c:ptCount val="8"/>
                <c:pt idx="0">
                  <c:v>0.23860000000000001</c:v>
                </c:pt>
                <c:pt idx="1">
                  <c:v>0.30300000000000005</c:v>
                </c:pt>
                <c:pt idx="2">
                  <c:v>0.47599999999999998</c:v>
                </c:pt>
                <c:pt idx="3">
                  <c:v>0.2472</c:v>
                </c:pt>
                <c:pt idx="4">
                  <c:v>0.25599999999999995</c:v>
                </c:pt>
                <c:pt idx="5">
                  <c:v>0.23020000000000002</c:v>
                </c:pt>
                <c:pt idx="6">
                  <c:v>0.23819999999999997</c:v>
                </c:pt>
                <c:pt idx="7">
                  <c:v>0.2324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67-3046-B178-A680E65902C2}"/>
            </c:ext>
          </c:extLst>
        </c:ser>
        <c:ser>
          <c:idx val="1"/>
          <c:order val="1"/>
          <c:tx>
            <c:strRef>
              <c:f>'3.2 — sel внешней'!$C$29</c:f>
              <c:strCache>
                <c:ptCount val="1"/>
                <c:pt idx="0">
                  <c:v>avg_noidx, мс</c:v>
                </c:pt>
              </c:strCache>
            </c:strRef>
          </c:tx>
          <c:spPr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'3.2 — sel внешней'!$A$30:$A$37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</c:numCache>
            </c:numRef>
          </c:cat>
          <c:val>
            <c:numRef>
              <c:f>'3.2 — sel внешней'!$C$30:$C$37</c:f>
              <c:numCache>
                <c:formatCode>0.000</c:formatCode>
                <c:ptCount val="8"/>
                <c:pt idx="0">
                  <c:v>0.24640000000000001</c:v>
                </c:pt>
                <c:pt idx="1">
                  <c:v>0.22939999999999999</c:v>
                </c:pt>
                <c:pt idx="2">
                  <c:v>0.2298</c:v>
                </c:pt>
                <c:pt idx="3">
                  <c:v>0.45279999999999998</c:v>
                </c:pt>
                <c:pt idx="4">
                  <c:v>0.55300000000000005</c:v>
                </c:pt>
                <c:pt idx="5">
                  <c:v>0.41699999999999998</c:v>
                </c:pt>
                <c:pt idx="6">
                  <c:v>0.26079999999999998</c:v>
                </c:pt>
                <c:pt idx="7">
                  <c:v>0.22799999999999998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A67-3046-B178-A680E6590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9714760"/>
        <c:axId val="78355027"/>
      </c:lineChart>
      <c:catAx>
        <c:axId val="497147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Селективность внешней таблицы (</a:t>
                </a: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tab1),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78355027"/>
        <c:crosses val="autoZero"/>
        <c:auto val="1"/>
        <c:lblAlgn val="ctr"/>
        <c:lblOffset val="100"/>
        <c:noMultiLvlLbl val="0"/>
      </c:catAx>
      <c:valAx>
        <c:axId val="783550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Execution time, </a:t>
                </a: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497147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Total Cost ← </a:t>
            </a:r>
            <a:r>
              <a:rPr lang="ru-RU" sz="1800" b="1" u="none" strike="noStrike">
                <a:solidFill>
                  <a:srgbClr val="000000"/>
                </a:solidFill>
                <a:uFillTx/>
                <a:latin typeface="Calibri"/>
              </a:rPr>
              <a:t>Селективность внешней таблицы (</a:t>
            </a: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tab1),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'3.2 — sel внешней'!$D$29</c:f>
              <c:strCache>
                <c:ptCount val="1"/>
                <c:pt idx="0">
                  <c:v>cost_idx</c:v>
                </c:pt>
              </c:strCache>
            </c:strRef>
          </c:tx>
          <c:spPr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'3.2 — sel внешней'!$A$30:$A$37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</c:numCache>
            </c:numRef>
          </c:cat>
          <c:val>
            <c:numRef>
              <c:f>'3.2 — sel внешней'!$D$30:$D$37</c:f>
              <c:numCache>
                <c:formatCode>0.00</c:formatCode>
                <c:ptCount val="8"/>
                <c:pt idx="0">
                  <c:v>54.91</c:v>
                </c:pt>
                <c:pt idx="1">
                  <c:v>54.91</c:v>
                </c:pt>
                <c:pt idx="2">
                  <c:v>54.91</c:v>
                </c:pt>
                <c:pt idx="3">
                  <c:v>55.91</c:v>
                </c:pt>
                <c:pt idx="4">
                  <c:v>55.91</c:v>
                </c:pt>
                <c:pt idx="5">
                  <c:v>55.91</c:v>
                </c:pt>
                <c:pt idx="6">
                  <c:v>55.91</c:v>
                </c:pt>
                <c:pt idx="7">
                  <c:v>55.91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8F-CF4D-BC80-DE3F604E1E34}"/>
            </c:ext>
          </c:extLst>
        </c:ser>
        <c:ser>
          <c:idx val="1"/>
          <c:order val="1"/>
          <c:tx>
            <c:strRef>
              <c:f>'3.2 — sel внешней'!$E$29</c:f>
              <c:strCache>
                <c:ptCount val="1"/>
                <c:pt idx="0">
                  <c:v>cost_noidx</c:v>
                </c:pt>
              </c:strCache>
            </c:strRef>
          </c:tx>
          <c:spPr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'3.2 — sel внешней'!$A$30:$A$37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</c:numCache>
            </c:numRef>
          </c:cat>
          <c:val>
            <c:numRef>
              <c:f>'3.2 — sel внешней'!$E$30:$E$37</c:f>
              <c:numCache>
                <c:formatCode>0.00</c:formatCode>
                <c:ptCount val="8"/>
                <c:pt idx="0">
                  <c:v>54.91</c:v>
                </c:pt>
                <c:pt idx="1">
                  <c:v>54.91</c:v>
                </c:pt>
                <c:pt idx="2">
                  <c:v>54.91</c:v>
                </c:pt>
                <c:pt idx="3">
                  <c:v>55.91</c:v>
                </c:pt>
                <c:pt idx="4">
                  <c:v>54.91</c:v>
                </c:pt>
                <c:pt idx="5">
                  <c:v>55.91</c:v>
                </c:pt>
                <c:pt idx="6">
                  <c:v>55.91</c:v>
                </c:pt>
                <c:pt idx="7">
                  <c:v>55.91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68F-CF4D-BC80-DE3F604E1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1138499"/>
        <c:axId val="35426418"/>
      </c:lineChart>
      <c:catAx>
        <c:axId val="411384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Селективность внешней таблицы (</a:t>
                </a: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tab1),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35426418"/>
        <c:crosses val="autoZero"/>
        <c:auto val="1"/>
        <c:lblAlgn val="ctr"/>
        <c:lblOffset val="100"/>
        <c:noMultiLvlLbl val="0"/>
      </c:catAx>
      <c:valAx>
        <c:axId val="354264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Total cost (</a:t>
                </a: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попугаи)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4113849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800" b="1" u="none" strike="noStrike">
                <a:solidFill>
                  <a:srgbClr val="000000"/>
                </a:solidFill>
                <a:uFillTx/>
                <a:latin typeface="Calibri"/>
              </a:rPr>
              <a:t>Среднее время выполнения, мс ← Количество записей </a:t>
            </a: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N (</a:t>
            </a:r>
            <a:r>
              <a:rPr lang="ru-RU" sz="1800" b="1" u="none" strike="noStrike">
                <a:solidFill>
                  <a:srgbClr val="000000"/>
                </a:solidFill>
                <a:uFillTx/>
                <a:latin typeface="Calibri"/>
              </a:rPr>
              <a:t>одновременно в обеих таблицах)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'3.3 — количество'!$B$23</c:f>
              <c:strCache>
                <c:ptCount val="1"/>
                <c:pt idx="0">
                  <c:v>avg_idx, мс</c:v>
                </c:pt>
              </c:strCache>
            </c:strRef>
          </c:tx>
          <c:spPr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'3.3 — количество'!$A$24:$A$28</c:f>
              <c:numCache>
                <c:formatCode>#,##0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cat>
          <c:val>
            <c:numRef>
              <c:f>'3.3 — количество'!$B$24:$B$28</c:f>
              <c:numCache>
                <c:formatCode>0.000</c:formatCode>
                <c:ptCount val="5"/>
                <c:pt idx="0">
                  <c:v>2.98E-2</c:v>
                </c:pt>
                <c:pt idx="1">
                  <c:v>0.23220000000000002</c:v>
                </c:pt>
                <c:pt idx="2">
                  <c:v>2.5311999999999997</c:v>
                </c:pt>
                <c:pt idx="3">
                  <c:v>24.449000000000002</c:v>
                </c:pt>
                <c:pt idx="4">
                  <c:v>273.66039999999998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46-A64F-93D6-6270DDD57BFC}"/>
            </c:ext>
          </c:extLst>
        </c:ser>
        <c:ser>
          <c:idx val="1"/>
          <c:order val="1"/>
          <c:tx>
            <c:strRef>
              <c:f>'3.3 — количество'!$C$23</c:f>
              <c:strCache>
                <c:ptCount val="1"/>
                <c:pt idx="0">
                  <c:v>avg_noidx, мс</c:v>
                </c:pt>
              </c:strCache>
            </c:strRef>
          </c:tx>
          <c:spPr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'3.3 — количество'!$A$24:$A$28</c:f>
              <c:numCache>
                <c:formatCode>#,##0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cat>
          <c:val>
            <c:numRef>
              <c:f>'3.3 — количество'!$C$24:$C$28</c:f>
              <c:numCache>
                <c:formatCode>0.000</c:formatCode>
                <c:ptCount val="5"/>
                <c:pt idx="0">
                  <c:v>2.52E-2</c:v>
                </c:pt>
                <c:pt idx="1">
                  <c:v>0.22500000000000001</c:v>
                </c:pt>
                <c:pt idx="2">
                  <c:v>2.2825999999999995</c:v>
                </c:pt>
                <c:pt idx="3">
                  <c:v>23.560199999999998</c:v>
                </c:pt>
                <c:pt idx="4">
                  <c:v>196.4032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046-A64F-93D6-6270DDD57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276668"/>
        <c:axId val="94427802"/>
      </c:lineChart>
      <c:catAx>
        <c:axId val="782766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Количество записей </a:t>
                </a: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 (</a:t>
                </a: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одновременно в обеих таблицах)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94427802"/>
        <c:crosses val="autoZero"/>
        <c:auto val="1"/>
        <c:lblAlgn val="ctr"/>
        <c:lblOffset val="100"/>
        <c:noMultiLvlLbl val="0"/>
      </c:catAx>
      <c:valAx>
        <c:axId val="944278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Execution time, </a:t>
                </a: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782766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Total Cost ← </a:t>
            </a:r>
            <a:r>
              <a:rPr lang="ru-RU" sz="1800" b="1" u="none" strike="noStrike">
                <a:solidFill>
                  <a:srgbClr val="000000"/>
                </a:solidFill>
                <a:uFillTx/>
                <a:latin typeface="Calibri"/>
              </a:rPr>
              <a:t>Количество записей </a:t>
            </a: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N (</a:t>
            </a:r>
            <a:r>
              <a:rPr lang="ru-RU" sz="1800" b="1" u="none" strike="noStrike">
                <a:solidFill>
                  <a:srgbClr val="000000"/>
                </a:solidFill>
                <a:uFillTx/>
                <a:latin typeface="Calibri"/>
              </a:rPr>
              <a:t>одновременно в обеих таблицах)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'3.3 — количество'!$D$23</c:f>
              <c:strCache>
                <c:ptCount val="1"/>
                <c:pt idx="0">
                  <c:v>cost_idx</c:v>
                </c:pt>
              </c:strCache>
            </c:strRef>
          </c:tx>
          <c:spPr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'3.3 — количество'!$A$24:$A$28</c:f>
              <c:numCache>
                <c:formatCode>#,##0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cat>
          <c:val>
            <c:numRef>
              <c:f>'3.3 — количество'!$D$24:$D$28</c:f>
              <c:numCache>
                <c:formatCode>0.00</c:formatCode>
                <c:ptCount val="5"/>
                <c:pt idx="0">
                  <c:v>6.84</c:v>
                </c:pt>
                <c:pt idx="1">
                  <c:v>55.91</c:v>
                </c:pt>
                <c:pt idx="2">
                  <c:v>443.4</c:v>
                </c:pt>
                <c:pt idx="3">
                  <c:v>4115.3</c:v>
                </c:pt>
                <c:pt idx="4">
                  <c:v>28942.2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EE-4E49-897A-ED10DA08DE13}"/>
            </c:ext>
          </c:extLst>
        </c:ser>
        <c:ser>
          <c:idx val="1"/>
          <c:order val="1"/>
          <c:tx>
            <c:strRef>
              <c:f>'3.3 — количество'!$E$23</c:f>
              <c:strCache>
                <c:ptCount val="1"/>
                <c:pt idx="0">
                  <c:v>cost_noidx</c:v>
                </c:pt>
              </c:strCache>
            </c:strRef>
          </c:tx>
          <c:spPr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'3.3 — количество'!$A$24:$A$28</c:f>
              <c:numCache>
                <c:formatCode>#,##0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cat>
          <c:val>
            <c:numRef>
              <c:f>'3.3 — количество'!$E$24:$E$28</c:f>
              <c:numCache>
                <c:formatCode>0.00</c:formatCode>
                <c:ptCount val="5"/>
                <c:pt idx="0">
                  <c:v>6.83</c:v>
                </c:pt>
                <c:pt idx="1">
                  <c:v>55.91</c:v>
                </c:pt>
                <c:pt idx="2">
                  <c:v>541.65</c:v>
                </c:pt>
                <c:pt idx="3">
                  <c:v>5414.3</c:v>
                </c:pt>
                <c:pt idx="4">
                  <c:v>48836.85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DEE-4E49-897A-ED10DA08D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1016785"/>
        <c:axId val="7948842"/>
      </c:lineChart>
      <c:catAx>
        <c:axId val="810167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Количество записей </a:t>
                </a: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 (</a:t>
                </a: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одновременно в обеих таблицах)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7948842"/>
        <c:crosses val="autoZero"/>
        <c:auto val="1"/>
        <c:lblAlgn val="ctr"/>
        <c:lblOffset val="100"/>
        <c:noMultiLvlLbl val="0"/>
      </c:catAx>
      <c:valAx>
        <c:axId val="79488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Total cost (</a:t>
                </a: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попугаи)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8101678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21</xdr:col>
      <xdr:colOff>4320</xdr:colOff>
      <xdr:row>20</xdr:row>
      <xdr:rowOff>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23</xdr:row>
      <xdr:rowOff>0</xdr:rowOff>
    </xdr:from>
    <xdr:to>
      <xdr:col>21</xdr:col>
      <xdr:colOff>4320</xdr:colOff>
      <xdr:row>38</xdr:row>
      <xdr:rowOff>69840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21</xdr:col>
      <xdr:colOff>4320</xdr:colOff>
      <xdr:row>20</xdr:row>
      <xdr:rowOff>720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23</xdr:row>
      <xdr:rowOff>0</xdr:rowOff>
    </xdr:from>
    <xdr:to>
      <xdr:col>21</xdr:col>
      <xdr:colOff>4320</xdr:colOff>
      <xdr:row>38</xdr:row>
      <xdr:rowOff>69840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21</xdr:col>
      <xdr:colOff>4320</xdr:colOff>
      <xdr:row>20</xdr:row>
      <xdr:rowOff>720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23</xdr:row>
      <xdr:rowOff>0</xdr:rowOff>
    </xdr:from>
    <xdr:to>
      <xdr:col>21</xdr:col>
      <xdr:colOff>4320</xdr:colOff>
      <xdr:row>40</xdr:row>
      <xdr:rowOff>720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8"/>
  <sheetViews>
    <sheetView tabSelected="1" zoomScaleNormal="100" workbookViewId="0">
      <selection activeCell="C18" sqref="C18"/>
    </sheetView>
  </sheetViews>
  <sheetFormatPr baseColWidth="10" defaultColWidth="8.6640625" defaultRowHeight="15" x14ac:dyDescent="0.2"/>
  <cols>
    <col min="1" max="1" width="4" customWidth="1"/>
    <col min="2" max="2" width="38" customWidth="1"/>
    <col min="3" max="3" width="50" customWidth="1"/>
  </cols>
  <sheetData>
    <row r="2" spans="2:3" ht="17.25" customHeight="1" x14ac:dyDescent="0.2">
      <c r="B2" s="4" t="s">
        <v>0</v>
      </c>
    </row>
    <row r="3" spans="2:3" ht="15" customHeight="1" x14ac:dyDescent="0.2">
      <c r="B3" s="5" t="s">
        <v>1</v>
      </c>
    </row>
    <row r="5" spans="2:3" ht="15" customHeight="1" x14ac:dyDescent="0.2">
      <c r="B5" s="6" t="s">
        <v>2</v>
      </c>
      <c r="C5" s="7" t="s">
        <v>3</v>
      </c>
    </row>
    <row r="6" spans="2:3" ht="15" customHeight="1" x14ac:dyDescent="0.2">
      <c r="B6" s="6" t="s">
        <v>4</v>
      </c>
      <c r="C6" s="7" t="s">
        <v>5</v>
      </c>
    </row>
    <row r="7" spans="2:3" ht="15" customHeight="1" x14ac:dyDescent="0.2">
      <c r="B7" s="6" t="s">
        <v>6</v>
      </c>
      <c r="C7" s="7" t="s">
        <v>7</v>
      </c>
    </row>
    <row r="8" spans="2:3" ht="15" customHeight="1" x14ac:dyDescent="0.2">
      <c r="B8" s="6" t="s">
        <v>8</v>
      </c>
      <c r="C8" s="7" t="s">
        <v>9</v>
      </c>
    </row>
    <row r="9" spans="2:3" ht="15" customHeight="1" x14ac:dyDescent="0.2">
      <c r="B9" s="6" t="s">
        <v>10</v>
      </c>
      <c r="C9" s="7" t="s">
        <v>11</v>
      </c>
    </row>
    <row r="10" spans="2:3" ht="15" customHeight="1" x14ac:dyDescent="0.2">
      <c r="B10" s="6" t="s">
        <v>12</v>
      </c>
      <c r="C10" s="7" t="s">
        <v>13</v>
      </c>
    </row>
    <row r="11" spans="2:3" ht="15" customHeight="1" x14ac:dyDescent="0.2">
      <c r="B11" s="6" t="s">
        <v>14</v>
      </c>
      <c r="C11" s="7" t="s">
        <v>15</v>
      </c>
    </row>
    <row r="13" spans="2:3" ht="51.75" customHeight="1" x14ac:dyDescent="0.2">
      <c r="B13" s="6" t="s">
        <v>16</v>
      </c>
      <c r="C13" s="7" t="s">
        <v>17</v>
      </c>
    </row>
    <row r="15" spans="2:3" ht="15" customHeight="1" x14ac:dyDescent="0.2">
      <c r="B15" s="6" t="s">
        <v>18</v>
      </c>
      <c r="C15" s="7" t="s">
        <v>19</v>
      </c>
    </row>
    <row r="16" spans="2:3" ht="15" customHeight="1" x14ac:dyDescent="0.2">
      <c r="B16" s="6" t="s">
        <v>20</v>
      </c>
      <c r="C16" s="7" t="s">
        <v>21</v>
      </c>
    </row>
    <row r="17" spans="2:3" ht="15" customHeight="1" x14ac:dyDescent="0.2">
      <c r="B17" s="6" t="s">
        <v>22</v>
      </c>
      <c r="C17" s="7" t="s">
        <v>23</v>
      </c>
    </row>
    <row r="18" spans="2:3" ht="15" customHeight="1" x14ac:dyDescent="0.2">
      <c r="B18" s="6" t="s">
        <v>24</v>
      </c>
      <c r="C18" s="7" t="s">
        <v>25</v>
      </c>
    </row>
    <row r="20" spans="2:3" ht="39" customHeight="1" x14ac:dyDescent="0.2">
      <c r="B20" s="6" t="s">
        <v>26</v>
      </c>
      <c r="C20" s="7" t="s">
        <v>27</v>
      </c>
    </row>
    <row r="21" spans="2:3" ht="39" customHeight="1" x14ac:dyDescent="0.2">
      <c r="B21" s="6" t="s">
        <v>28</v>
      </c>
      <c r="C21" s="7" t="s">
        <v>29</v>
      </c>
    </row>
    <row r="22" spans="2:3" ht="26.25" customHeight="1" x14ac:dyDescent="0.2">
      <c r="B22" s="6" t="s">
        <v>30</v>
      </c>
      <c r="C22" s="7" t="s">
        <v>31</v>
      </c>
    </row>
    <row r="24" spans="2:3" ht="15" customHeight="1" x14ac:dyDescent="0.2">
      <c r="B24" s="8" t="s">
        <v>32</v>
      </c>
    </row>
    <row r="25" spans="2:3" ht="15" customHeight="1" x14ac:dyDescent="0.2">
      <c r="B25" s="9" t="s">
        <v>33</v>
      </c>
      <c r="C25" t="s">
        <v>34</v>
      </c>
    </row>
    <row r="26" spans="2:3" ht="15" customHeight="1" x14ac:dyDescent="0.2">
      <c r="B26" s="9" t="s">
        <v>35</v>
      </c>
      <c r="C26" t="s">
        <v>36</v>
      </c>
    </row>
    <row r="27" spans="2:3" ht="15" customHeight="1" x14ac:dyDescent="0.2">
      <c r="B27" s="9" t="s">
        <v>37</v>
      </c>
      <c r="C27" t="s">
        <v>38</v>
      </c>
    </row>
    <row r="28" spans="2:3" ht="15" customHeight="1" x14ac:dyDescent="0.2">
      <c r="B28" s="9" t="s">
        <v>39</v>
      </c>
      <c r="C28" t="s">
        <v>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zoomScaleNormal="100" workbookViewId="0">
      <selection activeCell="J33" sqref="J33"/>
    </sheetView>
  </sheetViews>
  <sheetFormatPr baseColWidth="10" defaultColWidth="8.6640625" defaultRowHeight="15" x14ac:dyDescent="0.2"/>
  <cols>
    <col min="1" max="1" width="4" customWidth="1"/>
    <col min="2" max="2" width="14" customWidth="1"/>
    <col min="3" max="7" width="10" customWidth="1"/>
    <col min="8" max="8" width="12" customWidth="1"/>
    <col min="9" max="9" width="11" customWidth="1"/>
    <col min="10" max="10" width="12" customWidth="1"/>
  </cols>
  <sheetData>
    <row r="1" spans="1:10" ht="15.75" customHeight="1" x14ac:dyDescent="0.2">
      <c r="A1" s="10" t="s">
        <v>41</v>
      </c>
    </row>
    <row r="2" spans="1:10" ht="15" customHeight="1" x14ac:dyDescent="0.2">
      <c r="A2" s="11" t="s">
        <v>42</v>
      </c>
    </row>
    <row r="4" spans="1:10" ht="15" customHeight="1" x14ac:dyDescent="0.2">
      <c r="A4" s="3" t="s">
        <v>43</v>
      </c>
      <c r="B4" s="3"/>
      <c r="C4" s="3"/>
      <c r="D4" s="3"/>
      <c r="E4" s="3"/>
      <c r="F4" s="3"/>
      <c r="G4" s="3"/>
      <c r="H4" s="3"/>
      <c r="I4" s="3"/>
      <c r="J4" s="3"/>
    </row>
    <row r="5" spans="1:10" ht="15" customHeight="1" x14ac:dyDescent="0.2">
      <c r="A5" s="12" t="s">
        <v>44</v>
      </c>
      <c r="B5" s="12" t="s">
        <v>45</v>
      </c>
      <c r="C5" s="12" t="s">
        <v>46</v>
      </c>
      <c r="D5" s="12" t="s">
        <v>47</v>
      </c>
      <c r="E5" s="12" t="s">
        <v>48</v>
      </c>
      <c r="F5" s="12" t="s">
        <v>49</v>
      </c>
      <c r="G5" s="12" t="s">
        <v>50</v>
      </c>
      <c r="H5" s="12" t="s">
        <v>51</v>
      </c>
      <c r="I5" s="12" t="s">
        <v>52</v>
      </c>
      <c r="J5" s="12" t="s">
        <v>53</v>
      </c>
    </row>
    <row r="6" spans="1:10" ht="15" customHeight="1" x14ac:dyDescent="0.2">
      <c r="A6" s="13">
        <v>1</v>
      </c>
      <c r="B6" s="14">
        <v>1</v>
      </c>
      <c r="C6" s="15">
        <v>0.26700000000000002</v>
      </c>
      <c r="D6" s="15">
        <v>0.252</v>
      </c>
      <c r="E6" s="15">
        <v>0.254</v>
      </c>
      <c r="F6" s="15">
        <v>0.25</v>
      </c>
      <c r="G6" s="15">
        <v>0.247</v>
      </c>
      <c r="H6" s="16">
        <f t="shared" ref="H6:H13" si="0">IFERROR(AVERAGE(C6:G6),"")</f>
        <v>0.254</v>
      </c>
      <c r="I6" s="16">
        <f t="shared" ref="I6:I13" si="1">IFERROR(STDEV(C6:G6),"")</f>
        <v>7.7136243102707636E-3</v>
      </c>
      <c r="J6" s="17">
        <v>55.69</v>
      </c>
    </row>
    <row r="7" spans="1:10" ht="15" customHeight="1" x14ac:dyDescent="0.2">
      <c r="A7" s="13">
        <v>2</v>
      </c>
      <c r="B7" s="14">
        <v>2</v>
      </c>
      <c r="C7" s="15">
        <v>0.22700000000000001</v>
      </c>
      <c r="D7" s="15">
        <v>0.21099999999999999</v>
      </c>
      <c r="E7" s="15">
        <v>0.21</v>
      </c>
      <c r="F7" s="15">
        <v>0.21</v>
      </c>
      <c r="G7" s="15">
        <v>0.22500000000000001</v>
      </c>
      <c r="H7" s="16">
        <f t="shared" si="0"/>
        <v>0.21659999999999999</v>
      </c>
      <c r="I7" s="16">
        <f t="shared" si="1"/>
        <v>8.6197447758039874E-3</v>
      </c>
      <c r="J7" s="17">
        <v>55.66</v>
      </c>
    </row>
    <row r="8" spans="1:10" ht="15" customHeight="1" x14ac:dyDescent="0.2">
      <c r="A8" s="13">
        <v>3</v>
      </c>
      <c r="B8" s="14">
        <v>3</v>
      </c>
      <c r="C8" s="15">
        <v>0.246</v>
      </c>
      <c r="D8" s="15">
        <v>0.22900000000000001</v>
      </c>
      <c r="E8" s="15">
        <v>0.214</v>
      </c>
      <c r="F8" s="15">
        <v>0.21</v>
      </c>
      <c r="G8" s="15">
        <v>0.23100000000000001</v>
      </c>
      <c r="H8" s="16">
        <f t="shared" si="0"/>
        <v>0.22599999999999998</v>
      </c>
      <c r="I8" s="16">
        <f t="shared" si="1"/>
        <v>1.4439529078193654E-2</v>
      </c>
      <c r="J8" s="17">
        <v>55.7</v>
      </c>
    </row>
    <row r="9" spans="1:10" ht="15" customHeight="1" x14ac:dyDescent="0.2">
      <c r="A9" s="13">
        <v>4</v>
      </c>
      <c r="B9" s="14">
        <v>5</v>
      </c>
      <c r="C9" s="15">
        <v>0.23200000000000001</v>
      </c>
      <c r="D9" s="15">
        <v>0.221</v>
      </c>
      <c r="E9" s="15">
        <v>0.23300000000000001</v>
      </c>
      <c r="F9" s="15">
        <v>0.222</v>
      </c>
      <c r="G9" s="15">
        <v>0.21299999999999999</v>
      </c>
      <c r="H9" s="16">
        <f t="shared" si="0"/>
        <v>0.22420000000000001</v>
      </c>
      <c r="I9" s="16">
        <f t="shared" si="1"/>
        <v>8.3486525858967285E-3</v>
      </c>
      <c r="J9" s="17">
        <v>55.77</v>
      </c>
    </row>
    <row r="10" spans="1:10" ht="15" customHeight="1" x14ac:dyDescent="0.2">
      <c r="A10" s="13">
        <v>5</v>
      </c>
      <c r="B10" s="14">
        <v>10</v>
      </c>
      <c r="C10" s="15">
        <v>0.26300000000000001</v>
      </c>
      <c r="D10" s="15">
        <v>0.24199999999999999</v>
      </c>
      <c r="E10" s="15">
        <v>0.23499999999999999</v>
      </c>
      <c r="F10" s="15">
        <v>0.245</v>
      </c>
      <c r="G10" s="15">
        <v>0.23899999999999999</v>
      </c>
      <c r="H10" s="16">
        <f t="shared" si="0"/>
        <v>0.24479999999999999</v>
      </c>
      <c r="I10" s="16">
        <f t="shared" si="1"/>
        <v>1.0825894882179497E-2</v>
      </c>
      <c r="J10" s="17">
        <v>55.91</v>
      </c>
    </row>
    <row r="11" spans="1:10" ht="15" customHeight="1" x14ac:dyDescent="0.2">
      <c r="A11" s="13">
        <v>6</v>
      </c>
      <c r="B11" s="14">
        <v>15</v>
      </c>
      <c r="C11" s="15">
        <v>0.23499999999999999</v>
      </c>
      <c r="D11" s="15">
        <v>0.23499999999999999</v>
      </c>
      <c r="E11" s="15">
        <v>0.24199999999999999</v>
      </c>
      <c r="F11" s="15">
        <v>0.24099999999999999</v>
      </c>
      <c r="G11" s="15">
        <v>0.24199999999999999</v>
      </c>
      <c r="H11" s="16">
        <f t="shared" si="0"/>
        <v>0.23899999999999996</v>
      </c>
      <c r="I11" s="16">
        <f t="shared" si="1"/>
        <v>3.6742346141747707E-3</v>
      </c>
      <c r="J11" s="17">
        <v>56.03</v>
      </c>
    </row>
    <row r="12" spans="1:10" ht="15" customHeight="1" x14ac:dyDescent="0.2">
      <c r="A12" s="13">
        <v>7</v>
      </c>
      <c r="B12" s="14">
        <v>20</v>
      </c>
      <c r="C12" s="15">
        <v>0.26500000000000001</v>
      </c>
      <c r="D12" s="15">
        <v>0.255</v>
      </c>
      <c r="E12" s="15">
        <v>0.24199999999999999</v>
      </c>
      <c r="F12" s="15">
        <v>0.224</v>
      </c>
      <c r="G12" s="15">
        <v>0.224</v>
      </c>
      <c r="H12" s="16">
        <f t="shared" si="0"/>
        <v>0.24199999999999999</v>
      </c>
      <c r="I12" s="16">
        <f t="shared" si="1"/>
        <v>1.8343936327844142E-2</v>
      </c>
      <c r="J12" s="17">
        <v>56.16</v>
      </c>
    </row>
    <row r="13" spans="1:10" ht="15" customHeight="1" x14ac:dyDescent="0.2">
      <c r="A13" s="13">
        <v>8</v>
      </c>
      <c r="B13" s="14">
        <v>30</v>
      </c>
      <c r="C13" s="15">
        <v>0.26600000000000001</v>
      </c>
      <c r="D13" s="15">
        <v>0.26400000000000001</v>
      </c>
      <c r="E13" s="15">
        <v>0.26200000000000001</v>
      </c>
      <c r="F13" s="15">
        <v>0.247</v>
      </c>
      <c r="G13" s="15">
        <v>0.25800000000000001</v>
      </c>
      <c r="H13" s="16">
        <f t="shared" si="0"/>
        <v>0.25940000000000002</v>
      </c>
      <c r="I13" s="16">
        <f t="shared" si="1"/>
        <v>7.5365774725667158E-3</v>
      </c>
      <c r="J13" s="17">
        <v>55.41</v>
      </c>
    </row>
    <row r="16" spans="1:10" ht="15" customHeight="1" x14ac:dyDescent="0.2">
      <c r="A16" s="2" t="s">
        <v>54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ht="15" customHeight="1" x14ac:dyDescent="0.2">
      <c r="A17" s="12" t="s">
        <v>44</v>
      </c>
      <c r="B17" s="12" t="s">
        <v>45</v>
      </c>
      <c r="C17" s="12" t="s">
        <v>46</v>
      </c>
      <c r="D17" s="12" t="s">
        <v>47</v>
      </c>
      <c r="E17" s="12" t="s">
        <v>48</v>
      </c>
      <c r="F17" s="12" t="s">
        <v>49</v>
      </c>
      <c r="G17" s="12" t="s">
        <v>50</v>
      </c>
      <c r="H17" s="12" t="s">
        <v>51</v>
      </c>
      <c r="I17" s="12" t="s">
        <v>52</v>
      </c>
      <c r="J17" s="12" t="s">
        <v>53</v>
      </c>
    </row>
    <row r="18" spans="1:10" ht="15" customHeight="1" x14ac:dyDescent="0.2">
      <c r="A18" s="13">
        <v>1</v>
      </c>
      <c r="B18" s="18">
        <v>1</v>
      </c>
      <c r="C18" s="15">
        <v>0.26700000000000002</v>
      </c>
      <c r="D18" s="15">
        <v>0.252</v>
      </c>
      <c r="E18" s="15">
        <v>0.251</v>
      </c>
      <c r="F18" s="15">
        <v>0.23899999999999999</v>
      </c>
      <c r="G18" s="15">
        <v>0.23699999999999999</v>
      </c>
      <c r="H18" s="16">
        <f t="shared" ref="H18:H25" si="2">IFERROR(AVERAGE(C18:G18),"")</f>
        <v>0.2492</v>
      </c>
      <c r="I18" s="16">
        <f t="shared" ref="I18:I25" si="3">IFERROR(STDEV(C18:G18),"")</f>
        <v>1.2049896265113666E-2</v>
      </c>
      <c r="J18" s="17">
        <v>55.69</v>
      </c>
    </row>
    <row r="19" spans="1:10" ht="15" customHeight="1" x14ac:dyDescent="0.2">
      <c r="A19" s="13">
        <v>2</v>
      </c>
      <c r="B19" s="18">
        <v>2</v>
      </c>
      <c r="C19" s="15">
        <v>0.25800000000000001</v>
      </c>
      <c r="D19" s="15">
        <v>0.24099999999999999</v>
      </c>
      <c r="E19" s="15">
        <v>0.23899999999999999</v>
      </c>
      <c r="F19" s="15">
        <v>0.23400000000000001</v>
      </c>
      <c r="G19" s="15">
        <v>0.23400000000000001</v>
      </c>
      <c r="H19" s="16">
        <f t="shared" si="2"/>
        <v>0.2412</v>
      </c>
      <c r="I19" s="16">
        <f t="shared" si="3"/>
        <v>9.8843310345212518E-3</v>
      </c>
      <c r="J19" s="17">
        <v>55.66</v>
      </c>
    </row>
    <row r="20" spans="1:10" ht="15" customHeight="1" x14ac:dyDescent="0.2">
      <c r="A20" s="13">
        <v>3</v>
      </c>
      <c r="B20" s="18">
        <v>3</v>
      </c>
      <c r="C20" s="15">
        <v>0.252</v>
      </c>
      <c r="D20" s="15">
        <v>0.23599999999999999</v>
      </c>
      <c r="E20" s="15">
        <v>0.27400000000000002</v>
      </c>
      <c r="F20" s="15">
        <v>0.24399999999999999</v>
      </c>
      <c r="G20" s="15">
        <v>0.23300000000000001</v>
      </c>
      <c r="H20" s="16">
        <f t="shared" si="2"/>
        <v>0.24780000000000002</v>
      </c>
      <c r="I20" s="16">
        <f t="shared" si="3"/>
        <v>1.6407315441594957E-2</v>
      </c>
      <c r="J20" s="17">
        <v>55.7</v>
      </c>
    </row>
    <row r="21" spans="1:10" ht="15" customHeight="1" x14ac:dyDescent="0.2">
      <c r="A21" s="13">
        <v>4</v>
      </c>
      <c r="B21" s="18">
        <v>5</v>
      </c>
      <c r="C21" s="15">
        <v>0.249</v>
      </c>
      <c r="D21" s="15">
        <v>0.22700000000000001</v>
      </c>
      <c r="E21" s="15">
        <v>0.21</v>
      </c>
      <c r="F21" s="15">
        <v>0.21</v>
      </c>
      <c r="G21" s="15">
        <v>0.21</v>
      </c>
      <c r="H21" s="16">
        <f t="shared" si="2"/>
        <v>0.22119999999999998</v>
      </c>
      <c r="I21" s="16">
        <f t="shared" si="3"/>
        <v>1.719592975096142E-2</v>
      </c>
      <c r="J21" s="17">
        <v>55.77</v>
      </c>
    </row>
    <row r="22" spans="1:10" ht="15" customHeight="1" x14ac:dyDescent="0.2">
      <c r="A22" s="13">
        <v>5</v>
      </c>
      <c r="B22" s="18">
        <v>10</v>
      </c>
      <c r="C22" s="15">
        <v>0.24399999999999999</v>
      </c>
      <c r="D22" s="15">
        <v>0.247</v>
      </c>
      <c r="E22" s="15">
        <v>0.254</v>
      </c>
      <c r="F22" s="15">
        <v>0.246</v>
      </c>
      <c r="G22" s="15">
        <v>0.23300000000000001</v>
      </c>
      <c r="H22" s="16">
        <f t="shared" si="2"/>
        <v>0.24479999999999999</v>
      </c>
      <c r="I22" s="16">
        <f t="shared" si="3"/>
        <v>7.5960516059331729E-3</v>
      </c>
      <c r="J22" s="17">
        <v>55.91</v>
      </c>
    </row>
    <row r="23" spans="1:10" ht="15" customHeight="1" x14ac:dyDescent="0.2">
      <c r="A23" s="13">
        <v>6</v>
      </c>
      <c r="B23" s="18">
        <v>15</v>
      </c>
      <c r="C23" s="15">
        <v>0.23300000000000001</v>
      </c>
      <c r="D23" s="15">
        <v>0.22</v>
      </c>
      <c r="E23" s="15">
        <v>0.221</v>
      </c>
      <c r="F23" s="15">
        <v>0.22</v>
      </c>
      <c r="G23" s="15">
        <v>0.221</v>
      </c>
      <c r="H23" s="16">
        <f t="shared" si="2"/>
        <v>0.223</v>
      </c>
      <c r="I23" s="16">
        <f t="shared" si="3"/>
        <v>5.6124860801609168E-3</v>
      </c>
      <c r="J23" s="17">
        <v>56.03</v>
      </c>
    </row>
    <row r="24" spans="1:10" ht="15" customHeight="1" x14ac:dyDescent="0.2">
      <c r="A24" s="13">
        <v>7</v>
      </c>
      <c r="B24" s="18">
        <v>20</v>
      </c>
      <c r="C24" s="15">
        <v>0.23499999999999999</v>
      </c>
      <c r="D24" s="15">
        <v>0.248</v>
      </c>
      <c r="E24" s="15">
        <v>0.254</v>
      </c>
      <c r="F24" s="15">
        <v>0.67400000000000004</v>
      </c>
      <c r="G24" s="15">
        <v>0.30599999999999999</v>
      </c>
      <c r="H24" s="16">
        <f t="shared" si="2"/>
        <v>0.34340000000000004</v>
      </c>
      <c r="I24" s="16">
        <f t="shared" si="3"/>
        <v>0.18677473062488939</v>
      </c>
      <c r="J24" s="17">
        <v>56.16</v>
      </c>
    </row>
    <row r="25" spans="1:10" ht="15" customHeight="1" x14ac:dyDescent="0.2">
      <c r="A25" s="13">
        <v>8</v>
      </c>
      <c r="B25" s="18">
        <v>30</v>
      </c>
      <c r="C25" s="15">
        <v>0.29199999999999998</v>
      </c>
      <c r="D25" s="15">
        <v>0.26100000000000001</v>
      </c>
      <c r="E25" s="15">
        <v>0.23799999999999999</v>
      </c>
      <c r="F25" s="15">
        <v>0.22900000000000001</v>
      </c>
      <c r="G25" s="15">
        <v>0.22800000000000001</v>
      </c>
      <c r="H25" s="16">
        <f t="shared" si="2"/>
        <v>0.24959999999999999</v>
      </c>
      <c r="I25" s="16">
        <f t="shared" si="3"/>
        <v>2.7171676429694203E-2</v>
      </c>
      <c r="J25" s="17">
        <v>56.41</v>
      </c>
    </row>
    <row r="28" spans="1:10" ht="15" customHeight="1" x14ac:dyDescent="0.2">
      <c r="A28" s="1" t="s">
        <v>55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39" customHeight="1" x14ac:dyDescent="0.2">
      <c r="A29" s="12" t="s">
        <v>45</v>
      </c>
      <c r="B29" s="12" t="s">
        <v>56</v>
      </c>
      <c r="C29" s="12" t="s">
        <v>57</v>
      </c>
      <c r="D29" s="12" t="s">
        <v>58</v>
      </c>
      <c r="E29" s="12" t="s">
        <v>59</v>
      </c>
      <c r="F29" s="12" t="s">
        <v>60</v>
      </c>
    </row>
    <row r="30" spans="1:10" ht="15" customHeight="1" x14ac:dyDescent="0.2">
      <c r="A30" s="19">
        <f t="shared" ref="A30:A37" si="4">B6</f>
        <v>1</v>
      </c>
      <c r="B30" s="20">
        <f t="shared" ref="B30:B37" si="5">H6</f>
        <v>0.254</v>
      </c>
      <c r="C30" s="21">
        <f t="shared" ref="C30:C37" si="6">H18</f>
        <v>0.2492</v>
      </c>
      <c r="D30" s="22">
        <f t="shared" ref="D30:D37" si="7">J6</f>
        <v>55.69</v>
      </c>
      <c r="E30" s="23">
        <f t="shared" ref="E30:E37" si="8">J18</f>
        <v>55.69</v>
      </c>
      <c r="F30" s="24">
        <f t="shared" ref="F30:F37" si="9">IFERROR(C30/B30,"")</f>
        <v>0.98110236220472447</v>
      </c>
    </row>
    <row r="31" spans="1:10" ht="15" customHeight="1" x14ac:dyDescent="0.2">
      <c r="A31" s="19">
        <f t="shared" si="4"/>
        <v>2</v>
      </c>
      <c r="B31" s="20">
        <f t="shared" si="5"/>
        <v>0.21659999999999999</v>
      </c>
      <c r="C31" s="21">
        <f t="shared" si="6"/>
        <v>0.2412</v>
      </c>
      <c r="D31" s="22">
        <f t="shared" si="7"/>
        <v>55.66</v>
      </c>
      <c r="E31" s="23">
        <f t="shared" si="8"/>
        <v>55.66</v>
      </c>
      <c r="F31" s="24">
        <f t="shared" si="9"/>
        <v>1.1135734072022161</v>
      </c>
    </row>
    <row r="32" spans="1:10" ht="15" customHeight="1" x14ac:dyDescent="0.2">
      <c r="A32" s="19">
        <f t="shared" si="4"/>
        <v>3</v>
      </c>
      <c r="B32" s="20">
        <f t="shared" si="5"/>
        <v>0.22599999999999998</v>
      </c>
      <c r="C32" s="21">
        <f t="shared" si="6"/>
        <v>0.24780000000000002</v>
      </c>
      <c r="D32" s="22">
        <f t="shared" si="7"/>
        <v>55.7</v>
      </c>
      <c r="E32" s="23">
        <f t="shared" si="8"/>
        <v>55.7</v>
      </c>
      <c r="F32" s="24">
        <f t="shared" si="9"/>
        <v>1.0964601769911506</v>
      </c>
    </row>
    <row r="33" spans="1:6" ht="15" customHeight="1" x14ac:dyDescent="0.2">
      <c r="A33" s="19">
        <f t="shared" si="4"/>
        <v>5</v>
      </c>
      <c r="B33" s="20">
        <f t="shared" si="5"/>
        <v>0.22420000000000001</v>
      </c>
      <c r="C33" s="21">
        <f t="shared" si="6"/>
        <v>0.22119999999999998</v>
      </c>
      <c r="D33" s="22">
        <f t="shared" si="7"/>
        <v>55.77</v>
      </c>
      <c r="E33" s="23">
        <f t="shared" si="8"/>
        <v>55.77</v>
      </c>
      <c r="F33" s="24">
        <f t="shared" si="9"/>
        <v>0.98661909009812654</v>
      </c>
    </row>
    <row r="34" spans="1:6" ht="15" customHeight="1" x14ac:dyDescent="0.2">
      <c r="A34" s="19">
        <f t="shared" si="4"/>
        <v>10</v>
      </c>
      <c r="B34" s="20">
        <f t="shared" si="5"/>
        <v>0.24479999999999999</v>
      </c>
      <c r="C34" s="21">
        <f t="shared" si="6"/>
        <v>0.24479999999999999</v>
      </c>
      <c r="D34" s="22">
        <f t="shared" si="7"/>
        <v>55.91</v>
      </c>
      <c r="E34" s="23">
        <f t="shared" si="8"/>
        <v>55.91</v>
      </c>
      <c r="F34" s="24">
        <f t="shared" si="9"/>
        <v>1</v>
      </c>
    </row>
    <row r="35" spans="1:6" ht="15" customHeight="1" x14ac:dyDescent="0.2">
      <c r="A35" s="19">
        <f t="shared" si="4"/>
        <v>15</v>
      </c>
      <c r="B35" s="20">
        <f t="shared" si="5"/>
        <v>0.23899999999999996</v>
      </c>
      <c r="C35" s="21">
        <f t="shared" si="6"/>
        <v>0.223</v>
      </c>
      <c r="D35" s="22">
        <f t="shared" si="7"/>
        <v>56.03</v>
      </c>
      <c r="E35" s="23">
        <f t="shared" si="8"/>
        <v>56.03</v>
      </c>
      <c r="F35" s="24">
        <f t="shared" si="9"/>
        <v>0.93305439330543949</v>
      </c>
    </row>
    <row r="36" spans="1:6" ht="15" customHeight="1" x14ac:dyDescent="0.2">
      <c r="A36" s="19">
        <f t="shared" si="4"/>
        <v>20</v>
      </c>
      <c r="B36" s="20">
        <f t="shared" si="5"/>
        <v>0.24199999999999999</v>
      </c>
      <c r="C36" s="21">
        <f t="shared" si="6"/>
        <v>0.34340000000000004</v>
      </c>
      <c r="D36" s="22">
        <f t="shared" si="7"/>
        <v>56.16</v>
      </c>
      <c r="E36" s="23">
        <f t="shared" si="8"/>
        <v>56.16</v>
      </c>
      <c r="F36" s="24">
        <f t="shared" si="9"/>
        <v>1.4190082644628101</v>
      </c>
    </row>
    <row r="37" spans="1:6" ht="15" customHeight="1" x14ac:dyDescent="0.2">
      <c r="A37" s="19">
        <f t="shared" si="4"/>
        <v>30</v>
      </c>
      <c r="B37" s="20">
        <f t="shared" si="5"/>
        <v>0.25940000000000002</v>
      </c>
      <c r="C37" s="21">
        <f t="shared" si="6"/>
        <v>0.24959999999999999</v>
      </c>
      <c r="D37" s="22">
        <f t="shared" si="7"/>
        <v>55.41</v>
      </c>
      <c r="E37" s="23">
        <f t="shared" si="8"/>
        <v>56.41</v>
      </c>
      <c r="F37" s="24">
        <f t="shared" si="9"/>
        <v>0.96222050886661514</v>
      </c>
    </row>
  </sheetData>
  <mergeCells count="3">
    <mergeCell ref="A4:J4"/>
    <mergeCell ref="A16:J16"/>
    <mergeCell ref="A28:J2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zoomScaleNormal="100" workbookViewId="0"/>
  </sheetViews>
  <sheetFormatPr baseColWidth="10" defaultColWidth="8.6640625" defaultRowHeight="15" x14ac:dyDescent="0.2"/>
  <cols>
    <col min="1" max="1" width="4" customWidth="1"/>
    <col min="2" max="2" width="14" customWidth="1"/>
    <col min="3" max="7" width="10" customWidth="1"/>
    <col min="8" max="8" width="12" customWidth="1"/>
    <col min="9" max="9" width="11" customWidth="1"/>
    <col min="10" max="10" width="12" customWidth="1"/>
  </cols>
  <sheetData>
    <row r="1" spans="1:10" ht="15.75" customHeight="1" x14ac:dyDescent="0.2">
      <c r="A1" s="10" t="s">
        <v>61</v>
      </c>
    </row>
    <row r="2" spans="1:10" ht="15" customHeight="1" x14ac:dyDescent="0.2">
      <c r="A2" s="11" t="s">
        <v>62</v>
      </c>
    </row>
    <row r="4" spans="1:10" ht="15" customHeight="1" x14ac:dyDescent="0.2">
      <c r="A4" s="3" t="s">
        <v>43</v>
      </c>
      <c r="B4" s="3"/>
      <c r="C4" s="3"/>
      <c r="D4" s="3"/>
      <c r="E4" s="3"/>
      <c r="F4" s="3"/>
      <c r="G4" s="3"/>
      <c r="H4" s="3"/>
      <c r="I4" s="3"/>
      <c r="J4" s="3"/>
    </row>
    <row r="5" spans="1:10" ht="15" customHeight="1" x14ac:dyDescent="0.2">
      <c r="A5" s="12" t="s">
        <v>44</v>
      </c>
      <c r="B5" s="12" t="s">
        <v>63</v>
      </c>
      <c r="C5" s="12" t="s">
        <v>46</v>
      </c>
      <c r="D5" s="12" t="s">
        <v>47</v>
      </c>
      <c r="E5" s="12" t="s">
        <v>48</v>
      </c>
      <c r="F5" s="12" t="s">
        <v>49</v>
      </c>
      <c r="G5" s="12" t="s">
        <v>50</v>
      </c>
      <c r="H5" s="12" t="s">
        <v>51</v>
      </c>
      <c r="I5" s="12" t="s">
        <v>52</v>
      </c>
      <c r="J5" s="12" t="s">
        <v>53</v>
      </c>
    </row>
    <row r="6" spans="1:10" ht="15" customHeight="1" x14ac:dyDescent="0.2">
      <c r="A6" s="13">
        <v>1</v>
      </c>
      <c r="B6" s="14">
        <v>1</v>
      </c>
      <c r="C6" s="15">
        <v>0.28899999999999998</v>
      </c>
      <c r="D6" s="15">
        <v>0.24299999999999999</v>
      </c>
      <c r="E6" s="15">
        <v>0.22500000000000001</v>
      </c>
      <c r="F6" s="15">
        <v>0.216</v>
      </c>
      <c r="G6" s="15">
        <v>0.22</v>
      </c>
      <c r="H6" s="16">
        <f t="shared" ref="H6:H13" si="0">IFERROR(AVERAGE(C6:G6),"")</f>
        <v>0.23860000000000001</v>
      </c>
      <c r="I6" s="16">
        <f t="shared" ref="I6:I13" si="1">IFERROR(STDEV(C6:G6),"")</f>
        <v>3.0004999583402411E-2</v>
      </c>
      <c r="J6" s="17">
        <v>54.91</v>
      </c>
    </row>
    <row r="7" spans="1:10" ht="15" customHeight="1" x14ac:dyDescent="0.2">
      <c r="A7" s="13">
        <v>2</v>
      </c>
      <c r="B7" s="14">
        <v>2</v>
      </c>
      <c r="C7" s="15">
        <v>0.52</v>
      </c>
      <c r="D7" s="15">
        <v>0.26300000000000001</v>
      </c>
      <c r="E7" s="15">
        <v>0.245</v>
      </c>
      <c r="F7" s="15">
        <v>0.24399999999999999</v>
      </c>
      <c r="G7" s="15">
        <v>0.24299999999999999</v>
      </c>
      <c r="H7" s="16">
        <f t="shared" si="0"/>
        <v>0.30300000000000005</v>
      </c>
      <c r="I7" s="16">
        <f t="shared" si="1"/>
        <v>0.12158741711213368</v>
      </c>
      <c r="J7" s="17">
        <v>54.91</v>
      </c>
    </row>
    <row r="8" spans="1:10" ht="15" customHeight="1" x14ac:dyDescent="0.2">
      <c r="A8" s="13">
        <v>3</v>
      </c>
      <c r="B8" s="14">
        <v>3</v>
      </c>
      <c r="C8" s="15">
        <v>0.39</v>
      </c>
      <c r="D8" s="15">
        <v>0.5</v>
      </c>
      <c r="E8" s="15">
        <v>0.49199999999999999</v>
      </c>
      <c r="F8" s="15">
        <v>0.51300000000000001</v>
      </c>
      <c r="G8" s="15">
        <v>0.48499999999999999</v>
      </c>
      <c r="H8" s="16">
        <f t="shared" si="0"/>
        <v>0.47599999999999998</v>
      </c>
      <c r="I8" s="16">
        <f t="shared" si="1"/>
        <v>4.9188413269793521E-2</v>
      </c>
      <c r="J8" s="17">
        <v>54.91</v>
      </c>
    </row>
    <row r="9" spans="1:10" ht="15" customHeight="1" x14ac:dyDescent="0.2">
      <c r="A9" s="13">
        <v>4</v>
      </c>
      <c r="B9" s="14">
        <v>5</v>
      </c>
      <c r="C9" s="15">
        <v>0.27</v>
      </c>
      <c r="D9" s="15">
        <v>0.245</v>
      </c>
      <c r="E9" s="15">
        <v>0.246</v>
      </c>
      <c r="F9" s="15">
        <v>0.23100000000000001</v>
      </c>
      <c r="G9" s="15">
        <v>0.24399999999999999</v>
      </c>
      <c r="H9" s="16">
        <f t="shared" si="0"/>
        <v>0.2472</v>
      </c>
      <c r="I9" s="16">
        <f t="shared" si="1"/>
        <v>1.4131525041551605E-2</v>
      </c>
      <c r="J9" s="17">
        <v>55.91</v>
      </c>
    </row>
    <row r="10" spans="1:10" ht="15" customHeight="1" x14ac:dyDescent="0.2">
      <c r="A10" s="13">
        <v>5</v>
      </c>
      <c r="B10" s="14">
        <v>10</v>
      </c>
      <c r="C10" s="15">
        <v>0.32</v>
      </c>
      <c r="D10" s="15">
        <v>0.24299999999999999</v>
      </c>
      <c r="E10" s="15">
        <v>0.24</v>
      </c>
      <c r="F10" s="15">
        <v>0.24</v>
      </c>
      <c r="G10" s="15">
        <v>0.23699999999999999</v>
      </c>
      <c r="H10" s="16">
        <f t="shared" si="0"/>
        <v>0.25599999999999995</v>
      </c>
      <c r="I10" s="16">
        <f t="shared" si="1"/>
        <v>3.5839921874915151E-2</v>
      </c>
      <c r="J10" s="17">
        <v>55.91</v>
      </c>
    </row>
    <row r="11" spans="1:10" ht="15" customHeight="1" x14ac:dyDescent="0.2">
      <c r="A11" s="13">
        <v>6</v>
      </c>
      <c r="B11" s="14">
        <v>15</v>
      </c>
      <c r="C11" s="15">
        <v>0.247</v>
      </c>
      <c r="D11" s="15">
        <v>0.23</v>
      </c>
      <c r="E11" s="15">
        <v>0.23</v>
      </c>
      <c r="F11" s="15">
        <v>0.23200000000000001</v>
      </c>
      <c r="G11" s="15">
        <v>0.21199999999999999</v>
      </c>
      <c r="H11" s="16">
        <f t="shared" si="0"/>
        <v>0.23020000000000002</v>
      </c>
      <c r="I11" s="16">
        <f t="shared" si="1"/>
        <v>1.241772926102031E-2</v>
      </c>
      <c r="J11" s="17">
        <v>55.91</v>
      </c>
    </row>
    <row r="12" spans="1:10" ht="15" customHeight="1" x14ac:dyDescent="0.2">
      <c r="A12" s="13">
        <v>7</v>
      </c>
      <c r="B12" s="14">
        <v>20</v>
      </c>
      <c r="C12" s="15">
        <v>0.25900000000000001</v>
      </c>
      <c r="D12" s="15">
        <v>0.23799999999999999</v>
      </c>
      <c r="E12" s="15">
        <v>0.22</v>
      </c>
      <c r="F12" s="15">
        <v>0.23799999999999999</v>
      </c>
      <c r="G12" s="15">
        <v>0.23599999999999999</v>
      </c>
      <c r="H12" s="16">
        <f t="shared" si="0"/>
        <v>0.23819999999999997</v>
      </c>
      <c r="I12" s="16">
        <f t="shared" si="1"/>
        <v>1.3863621460498698E-2</v>
      </c>
      <c r="J12" s="17">
        <v>55.91</v>
      </c>
    </row>
    <row r="13" spans="1:10" ht="15" customHeight="1" x14ac:dyDescent="0.2">
      <c r="A13" s="13">
        <v>8</v>
      </c>
      <c r="B13" s="14">
        <v>30</v>
      </c>
      <c r="C13" s="15">
        <v>0.247</v>
      </c>
      <c r="D13" s="15">
        <v>0.22700000000000001</v>
      </c>
      <c r="E13" s="15">
        <v>0.221</v>
      </c>
      <c r="F13" s="15">
        <v>0.23499999999999999</v>
      </c>
      <c r="G13" s="15">
        <v>0.23200000000000001</v>
      </c>
      <c r="H13" s="16">
        <f t="shared" si="0"/>
        <v>0.2324</v>
      </c>
      <c r="I13" s="16">
        <f t="shared" si="1"/>
        <v>9.7365291557104643E-3</v>
      </c>
      <c r="J13" s="17">
        <v>55.91</v>
      </c>
    </row>
    <row r="16" spans="1:10" ht="15" customHeight="1" x14ac:dyDescent="0.2">
      <c r="A16" s="2" t="s">
        <v>54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ht="15" customHeight="1" x14ac:dyDescent="0.2">
      <c r="A17" s="12" t="s">
        <v>44</v>
      </c>
      <c r="B17" s="12" t="s">
        <v>63</v>
      </c>
      <c r="C17" s="12" t="s">
        <v>46</v>
      </c>
      <c r="D17" s="12" t="s">
        <v>47</v>
      </c>
      <c r="E17" s="12" t="s">
        <v>48</v>
      </c>
      <c r="F17" s="12" t="s">
        <v>49</v>
      </c>
      <c r="G17" s="12" t="s">
        <v>50</v>
      </c>
      <c r="H17" s="12" t="s">
        <v>51</v>
      </c>
      <c r="I17" s="12" t="s">
        <v>52</v>
      </c>
      <c r="J17" s="12" t="s">
        <v>53</v>
      </c>
    </row>
    <row r="18" spans="1:10" ht="15" customHeight="1" x14ac:dyDescent="0.2">
      <c r="A18" s="13">
        <v>1</v>
      </c>
      <c r="B18" s="18">
        <v>1</v>
      </c>
      <c r="C18" s="15">
        <v>0.25900000000000001</v>
      </c>
      <c r="D18" s="15">
        <v>0.24399999999999999</v>
      </c>
      <c r="E18" s="15">
        <v>0.24299999999999999</v>
      </c>
      <c r="F18" s="15">
        <v>0.24199999999999999</v>
      </c>
      <c r="G18" s="15">
        <v>0.24399999999999999</v>
      </c>
      <c r="H18" s="16">
        <f t="shared" ref="H18:H25" si="2">IFERROR(AVERAGE(C18:G18),"")</f>
        <v>0.24640000000000001</v>
      </c>
      <c r="I18" s="16">
        <f t="shared" ref="I18:I25" si="3">IFERROR(STDEV(C18:G18),"")</f>
        <v>7.0922492905988637E-3</v>
      </c>
      <c r="J18" s="17">
        <v>54.91</v>
      </c>
    </row>
    <row r="19" spans="1:10" ht="15" customHeight="1" x14ac:dyDescent="0.2">
      <c r="A19" s="13">
        <v>2</v>
      </c>
      <c r="B19" s="18">
        <v>2</v>
      </c>
      <c r="C19" s="15">
        <v>0.23100000000000001</v>
      </c>
      <c r="D19" s="15">
        <v>0.223</v>
      </c>
      <c r="E19" s="15">
        <v>0.223</v>
      </c>
      <c r="F19" s="15">
        <v>0.24399999999999999</v>
      </c>
      <c r="G19" s="15">
        <v>0.22600000000000001</v>
      </c>
      <c r="H19" s="16">
        <f t="shared" si="2"/>
        <v>0.22939999999999999</v>
      </c>
      <c r="I19" s="16">
        <f t="shared" si="3"/>
        <v>8.7920418561333036E-3</v>
      </c>
      <c r="J19" s="17">
        <v>54.91</v>
      </c>
    </row>
    <row r="20" spans="1:10" ht="15" customHeight="1" x14ac:dyDescent="0.2">
      <c r="A20" s="13">
        <v>3</v>
      </c>
      <c r="B20" s="18">
        <v>3</v>
      </c>
      <c r="C20" s="15">
        <v>0.22700000000000001</v>
      </c>
      <c r="D20" s="15">
        <v>0.217</v>
      </c>
      <c r="E20" s="15">
        <v>0.217</v>
      </c>
      <c r="F20" s="15">
        <v>0.246</v>
      </c>
      <c r="G20" s="15">
        <v>0.24199999999999999</v>
      </c>
      <c r="H20" s="16">
        <f t="shared" si="2"/>
        <v>0.2298</v>
      </c>
      <c r="I20" s="16">
        <f t="shared" si="3"/>
        <v>1.36638208419168E-2</v>
      </c>
      <c r="J20" s="17">
        <v>54.91</v>
      </c>
    </row>
    <row r="21" spans="1:10" ht="15" customHeight="1" x14ac:dyDescent="0.2">
      <c r="A21" s="13">
        <v>4</v>
      </c>
      <c r="B21" s="18">
        <v>5</v>
      </c>
      <c r="C21" s="15">
        <v>0.435</v>
      </c>
      <c r="D21" s="15">
        <v>0.35899999999999999</v>
      </c>
      <c r="E21" s="15">
        <v>0.48899999999999999</v>
      </c>
      <c r="F21" s="15">
        <v>0.38700000000000001</v>
      </c>
      <c r="G21" s="15">
        <v>0.59399999999999997</v>
      </c>
      <c r="H21" s="16">
        <f t="shared" si="2"/>
        <v>0.45279999999999998</v>
      </c>
      <c r="I21" s="16">
        <f t="shared" si="3"/>
        <v>9.3130016643400759E-2</v>
      </c>
      <c r="J21" s="17">
        <v>55.91</v>
      </c>
    </row>
    <row r="22" spans="1:10" ht="15" customHeight="1" x14ac:dyDescent="0.2">
      <c r="A22" s="13">
        <v>5</v>
      </c>
      <c r="B22" s="18">
        <v>10</v>
      </c>
      <c r="C22" s="15">
        <v>0.84799999999999998</v>
      </c>
      <c r="D22" s="15">
        <v>0.48099999999999998</v>
      </c>
      <c r="E22" s="15">
        <v>0.495</v>
      </c>
      <c r="F22" s="15">
        <v>0.46200000000000002</v>
      </c>
      <c r="G22" s="15">
        <v>0.47899999999999998</v>
      </c>
      <c r="H22" s="16">
        <f t="shared" si="2"/>
        <v>0.55300000000000005</v>
      </c>
      <c r="I22" s="16">
        <f t="shared" si="3"/>
        <v>0.1653254366393748</v>
      </c>
      <c r="J22" s="17">
        <v>54.91</v>
      </c>
    </row>
    <row r="23" spans="1:10" ht="15" customHeight="1" x14ac:dyDescent="0.2">
      <c r="A23" s="13">
        <v>6</v>
      </c>
      <c r="B23" s="18">
        <v>15</v>
      </c>
      <c r="C23" s="15">
        <v>0.51200000000000001</v>
      </c>
      <c r="D23" s="15">
        <v>0.58499999999999996</v>
      </c>
      <c r="E23" s="15">
        <v>0.504</v>
      </c>
      <c r="F23" s="15">
        <v>0.247</v>
      </c>
      <c r="G23" s="15">
        <v>0.23699999999999999</v>
      </c>
      <c r="H23" s="16">
        <f t="shared" si="2"/>
        <v>0.41699999999999998</v>
      </c>
      <c r="I23" s="16">
        <f t="shared" si="3"/>
        <v>0.1628787892882311</v>
      </c>
      <c r="J23" s="17">
        <v>55.91</v>
      </c>
    </row>
    <row r="24" spans="1:10" ht="15" customHeight="1" x14ac:dyDescent="0.2">
      <c r="A24" s="13">
        <v>7</v>
      </c>
      <c r="B24" s="18">
        <v>20</v>
      </c>
      <c r="C24" s="15">
        <v>0.248</v>
      </c>
      <c r="D24" s="15">
        <v>0.23799999999999999</v>
      </c>
      <c r="E24" s="15">
        <v>0.32800000000000001</v>
      </c>
      <c r="F24" s="15">
        <v>0.247</v>
      </c>
      <c r="G24" s="15">
        <v>0.24299999999999999</v>
      </c>
      <c r="H24" s="16">
        <f t="shared" si="2"/>
        <v>0.26079999999999998</v>
      </c>
      <c r="I24" s="16">
        <f t="shared" si="3"/>
        <v>3.7771682514815469E-2</v>
      </c>
      <c r="J24" s="17">
        <v>55.91</v>
      </c>
    </row>
    <row r="25" spans="1:10" ht="15" customHeight="1" x14ac:dyDescent="0.2">
      <c r="A25" s="13">
        <v>8</v>
      </c>
      <c r="B25" s="18">
        <v>30</v>
      </c>
      <c r="C25" s="15">
        <v>0.252</v>
      </c>
      <c r="D25" s="15">
        <v>0.23799999999999999</v>
      </c>
      <c r="E25" s="15">
        <v>0.23</v>
      </c>
      <c r="F25" s="15">
        <v>0.21</v>
      </c>
      <c r="G25" s="15">
        <v>0.21</v>
      </c>
      <c r="H25" s="16">
        <f t="shared" si="2"/>
        <v>0.22799999999999998</v>
      </c>
      <c r="I25" s="16">
        <f t="shared" si="3"/>
        <v>1.8220867158288599E-2</v>
      </c>
      <c r="J25" s="17">
        <v>55.91</v>
      </c>
    </row>
    <row r="28" spans="1:10" ht="15" customHeight="1" x14ac:dyDescent="0.2">
      <c r="A28" s="1" t="s">
        <v>55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39" customHeight="1" x14ac:dyDescent="0.2">
      <c r="A29" s="12" t="s">
        <v>63</v>
      </c>
      <c r="B29" s="12" t="s">
        <v>56</v>
      </c>
      <c r="C29" s="12" t="s">
        <v>57</v>
      </c>
      <c r="D29" s="12" t="s">
        <v>58</v>
      </c>
      <c r="E29" s="12" t="s">
        <v>59</v>
      </c>
      <c r="F29" s="12" t="s">
        <v>60</v>
      </c>
    </row>
    <row r="30" spans="1:10" ht="15" customHeight="1" x14ac:dyDescent="0.2">
      <c r="A30" s="19">
        <f t="shared" ref="A30:A37" si="4">B6</f>
        <v>1</v>
      </c>
      <c r="B30" s="20">
        <f t="shared" ref="B30:B37" si="5">H6</f>
        <v>0.23860000000000001</v>
      </c>
      <c r="C30" s="21">
        <f t="shared" ref="C30:C37" si="6">H18</f>
        <v>0.24640000000000001</v>
      </c>
      <c r="D30" s="22">
        <f t="shared" ref="D30:D37" si="7">J6</f>
        <v>54.91</v>
      </c>
      <c r="E30" s="23">
        <f t="shared" ref="E30:E37" si="8">J18</f>
        <v>54.91</v>
      </c>
      <c r="F30" s="24">
        <f t="shared" ref="F30:F37" si="9">IFERROR(C30/B30,"")</f>
        <v>1.0326906957250628</v>
      </c>
    </row>
    <row r="31" spans="1:10" ht="15" customHeight="1" x14ac:dyDescent="0.2">
      <c r="A31" s="19">
        <f t="shared" si="4"/>
        <v>2</v>
      </c>
      <c r="B31" s="20">
        <f t="shared" si="5"/>
        <v>0.30300000000000005</v>
      </c>
      <c r="C31" s="21">
        <f t="shared" si="6"/>
        <v>0.22939999999999999</v>
      </c>
      <c r="D31" s="22">
        <f t="shared" si="7"/>
        <v>54.91</v>
      </c>
      <c r="E31" s="23">
        <f t="shared" si="8"/>
        <v>54.91</v>
      </c>
      <c r="F31" s="24">
        <f t="shared" si="9"/>
        <v>0.75709570957095695</v>
      </c>
    </row>
    <row r="32" spans="1:10" ht="15" customHeight="1" x14ac:dyDescent="0.2">
      <c r="A32" s="19">
        <f t="shared" si="4"/>
        <v>3</v>
      </c>
      <c r="B32" s="20">
        <f t="shared" si="5"/>
        <v>0.47599999999999998</v>
      </c>
      <c r="C32" s="21">
        <f t="shared" si="6"/>
        <v>0.2298</v>
      </c>
      <c r="D32" s="22">
        <f t="shared" si="7"/>
        <v>54.91</v>
      </c>
      <c r="E32" s="23">
        <f t="shared" si="8"/>
        <v>54.91</v>
      </c>
      <c r="F32" s="24">
        <f t="shared" si="9"/>
        <v>0.48277310924369748</v>
      </c>
    </row>
    <row r="33" spans="1:6" ht="15" customHeight="1" x14ac:dyDescent="0.2">
      <c r="A33" s="19">
        <f t="shared" si="4"/>
        <v>5</v>
      </c>
      <c r="B33" s="20">
        <f t="shared" si="5"/>
        <v>0.2472</v>
      </c>
      <c r="C33" s="21">
        <f t="shared" si="6"/>
        <v>0.45279999999999998</v>
      </c>
      <c r="D33" s="22">
        <f t="shared" si="7"/>
        <v>55.91</v>
      </c>
      <c r="E33" s="23">
        <f t="shared" si="8"/>
        <v>55.91</v>
      </c>
      <c r="F33" s="24">
        <f t="shared" si="9"/>
        <v>1.8317152103559871</v>
      </c>
    </row>
    <row r="34" spans="1:6" ht="15" customHeight="1" x14ac:dyDescent="0.2">
      <c r="A34" s="19">
        <f t="shared" si="4"/>
        <v>10</v>
      </c>
      <c r="B34" s="20">
        <f t="shared" si="5"/>
        <v>0.25599999999999995</v>
      </c>
      <c r="C34" s="21">
        <f t="shared" si="6"/>
        <v>0.55300000000000005</v>
      </c>
      <c r="D34" s="22">
        <f t="shared" si="7"/>
        <v>55.91</v>
      </c>
      <c r="E34" s="23">
        <f t="shared" si="8"/>
        <v>54.91</v>
      </c>
      <c r="F34" s="24">
        <f t="shared" si="9"/>
        <v>2.1601562500000004</v>
      </c>
    </row>
    <row r="35" spans="1:6" ht="15" customHeight="1" x14ac:dyDescent="0.2">
      <c r="A35" s="19">
        <f t="shared" si="4"/>
        <v>15</v>
      </c>
      <c r="B35" s="20">
        <f t="shared" si="5"/>
        <v>0.23020000000000002</v>
      </c>
      <c r="C35" s="21">
        <f t="shared" si="6"/>
        <v>0.41699999999999998</v>
      </c>
      <c r="D35" s="22">
        <f t="shared" si="7"/>
        <v>55.91</v>
      </c>
      <c r="E35" s="23">
        <f t="shared" si="8"/>
        <v>55.91</v>
      </c>
      <c r="F35" s="24">
        <f t="shared" si="9"/>
        <v>1.8114682884448303</v>
      </c>
    </row>
    <row r="36" spans="1:6" ht="15" customHeight="1" x14ac:dyDescent="0.2">
      <c r="A36" s="19">
        <f t="shared" si="4"/>
        <v>20</v>
      </c>
      <c r="B36" s="20">
        <f t="shared" si="5"/>
        <v>0.23819999999999997</v>
      </c>
      <c r="C36" s="21">
        <f t="shared" si="6"/>
        <v>0.26079999999999998</v>
      </c>
      <c r="D36" s="22">
        <f t="shared" si="7"/>
        <v>55.91</v>
      </c>
      <c r="E36" s="23">
        <f t="shared" si="8"/>
        <v>55.91</v>
      </c>
      <c r="F36" s="24">
        <f t="shared" si="9"/>
        <v>1.09487825356843</v>
      </c>
    </row>
    <row r="37" spans="1:6" ht="15" customHeight="1" x14ac:dyDescent="0.2">
      <c r="A37" s="19">
        <f t="shared" si="4"/>
        <v>30</v>
      </c>
      <c r="B37" s="20">
        <f t="shared" si="5"/>
        <v>0.2324</v>
      </c>
      <c r="C37" s="21">
        <f t="shared" si="6"/>
        <v>0.22799999999999998</v>
      </c>
      <c r="D37" s="22">
        <f t="shared" si="7"/>
        <v>55.91</v>
      </c>
      <c r="E37" s="23">
        <f t="shared" si="8"/>
        <v>55.91</v>
      </c>
      <c r="F37" s="24">
        <f t="shared" si="9"/>
        <v>0.98106712564543885</v>
      </c>
    </row>
  </sheetData>
  <mergeCells count="3">
    <mergeCell ref="A4:J4"/>
    <mergeCell ref="A16:J16"/>
    <mergeCell ref="A28:J2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zoomScaleNormal="100" workbookViewId="0"/>
  </sheetViews>
  <sheetFormatPr baseColWidth="10" defaultColWidth="8.6640625" defaultRowHeight="15" x14ac:dyDescent="0.2"/>
  <cols>
    <col min="1" max="1" width="4" customWidth="1"/>
    <col min="2" max="2" width="14" customWidth="1"/>
    <col min="3" max="7" width="10" customWidth="1"/>
    <col min="8" max="8" width="12" customWidth="1"/>
    <col min="9" max="9" width="11" customWidth="1"/>
    <col min="10" max="10" width="12" customWidth="1"/>
  </cols>
  <sheetData>
    <row r="1" spans="1:10" ht="15.75" customHeight="1" x14ac:dyDescent="0.2">
      <c r="A1" s="10" t="s">
        <v>64</v>
      </c>
    </row>
    <row r="2" spans="1:10" ht="15" customHeight="1" x14ac:dyDescent="0.2">
      <c r="A2" s="11" t="s">
        <v>65</v>
      </c>
    </row>
    <row r="4" spans="1:10" ht="15" customHeight="1" x14ac:dyDescent="0.2">
      <c r="A4" s="3" t="s">
        <v>43</v>
      </c>
      <c r="B4" s="3"/>
      <c r="C4" s="3"/>
      <c r="D4" s="3"/>
      <c r="E4" s="3"/>
      <c r="F4" s="3"/>
      <c r="G4" s="3"/>
      <c r="H4" s="3"/>
      <c r="I4" s="3"/>
      <c r="J4" s="3"/>
    </row>
    <row r="5" spans="1:10" ht="15" customHeight="1" x14ac:dyDescent="0.2">
      <c r="A5" s="12" t="s">
        <v>44</v>
      </c>
      <c r="B5" s="12" t="s">
        <v>66</v>
      </c>
      <c r="C5" s="12" t="s">
        <v>46</v>
      </c>
      <c r="D5" s="12" t="s">
        <v>47</v>
      </c>
      <c r="E5" s="12" t="s">
        <v>48</v>
      </c>
      <c r="F5" s="12" t="s">
        <v>49</v>
      </c>
      <c r="G5" s="12" t="s">
        <v>50</v>
      </c>
      <c r="H5" s="12" t="s">
        <v>51</v>
      </c>
      <c r="I5" s="12" t="s">
        <v>52</v>
      </c>
      <c r="J5" s="12" t="s">
        <v>53</v>
      </c>
    </row>
    <row r="6" spans="1:10" ht="15" customHeight="1" x14ac:dyDescent="0.2">
      <c r="A6" s="13">
        <v>1</v>
      </c>
      <c r="B6" s="25">
        <v>100</v>
      </c>
      <c r="C6" s="15">
        <v>3.7999999999999999E-2</v>
      </c>
      <c r="D6" s="15">
        <v>2.9000000000000001E-2</v>
      </c>
      <c r="E6" s="15">
        <v>2.8000000000000001E-2</v>
      </c>
      <c r="F6" s="15">
        <v>2.7E-2</v>
      </c>
      <c r="G6" s="15">
        <v>2.7E-2</v>
      </c>
      <c r="H6" s="16">
        <f>IFERROR(AVERAGE(C6:G6),"")</f>
        <v>2.98E-2</v>
      </c>
      <c r="I6" s="16">
        <f>IFERROR(STDEV(C6:G6),"")</f>
        <v>4.658325879540846E-3</v>
      </c>
      <c r="J6" s="17">
        <v>6.84</v>
      </c>
    </row>
    <row r="7" spans="1:10" ht="15" customHeight="1" x14ac:dyDescent="0.2">
      <c r="A7" s="13">
        <v>2</v>
      </c>
      <c r="B7" s="25">
        <v>1000</v>
      </c>
      <c r="C7" s="15">
        <v>0.26600000000000001</v>
      </c>
      <c r="D7" s="15">
        <v>0.24099999999999999</v>
      </c>
      <c r="E7" s="15">
        <v>0.22600000000000001</v>
      </c>
      <c r="F7" s="15">
        <v>0.214</v>
      </c>
      <c r="G7" s="15">
        <v>0.214</v>
      </c>
      <c r="H7" s="16">
        <f>IFERROR(AVERAGE(C7:G7),"")</f>
        <v>0.23220000000000002</v>
      </c>
      <c r="I7" s="16">
        <f>IFERROR(STDEV(C7:G7),"")</f>
        <v>2.1913466179497947E-2</v>
      </c>
      <c r="J7" s="17">
        <v>55.91</v>
      </c>
    </row>
    <row r="8" spans="1:10" ht="15" customHeight="1" x14ac:dyDescent="0.2">
      <c r="A8" s="13">
        <v>3</v>
      </c>
      <c r="B8" s="25">
        <v>10000</v>
      </c>
      <c r="C8" s="15">
        <v>2.52</v>
      </c>
      <c r="D8" s="15">
        <v>2.4159999999999999</v>
      </c>
      <c r="E8" s="15">
        <v>2.3119999999999998</v>
      </c>
      <c r="F8" s="15">
        <v>2.6930000000000001</v>
      </c>
      <c r="G8" s="15">
        <v>2.7149999999999999</v>
      </c>
      <c r="H8" s="16">
        <f>IFERROR(AVERAGE(C8:G8),"")</f>
        <v>2.5311999999999997</v>
      </c>
      <c r="I8" s="16">
        <f>IFERROR(STDEV(C8:G8),"")</f>
        <v>0.17421739293193436</v>
      </c>
      <c r="J8" s="17">
        <v>443.4</v>
      </c>
    </row>
    <row r="9" spans="1:10" ht="15" customHeight="1" x14ac:dyDescent="0.2">
      <c r="A9" s="13">
        <v>4</v>
      </c>
      <c r="B9" s="25">
        <v>100000</v>
      </c>
      <c r="C9" s="15">
        <v>24.372</v>
      </c>
      <c r="D9" s="15">
        <v>24.204000000000001</v>
      </c>
      <c r="E9" s="15">
        <v>24.466999999999999</v>
      </c>
      <c r="F9" s="15">
        <v>24.617999999999999</v>
      </c>
      <c r="G9" s="15">
        <v>24.584</v>
      </c>
      <c r="H9" s="16">
        <f>IFERROR(AVERAGE(C9:G9),"")</f>
        <v>24.449000000000002</v>
      </c>
      <c r="I9" s="16">
        <f>IFERROR(STDEV(C9:G9),"")</f>
        <v>0.1681249535315914</v>
      </c>
      <c r="J9" s="17">
        <v>4115.3</v>
      </c>
    </row>
    <row r="10" spans="1:10" ht="15" customHeight="1" x14ac:dyDescent="0.2">
      <c r="A10" s="13">
        <v>5</v>
      </c>
      <c r="B10" s="25">
        <v>1000000</v>
      </c>
      <c r="C10" s="15">
        <v>287.03100000000001</v>
      </c>
      <c r="D10" s="15">
        <v>272.67599999999999</v>
      </c>
      <c r="E10" s="15">
        <v>270.06700000000001</v>
      </c>
      <c r="F10" s="15">
        <v>269.06599999999997</v>
      </c>
      <c r="G10" s="15">
        <v>269.46199999999999</v>
      </c>
      <c r="H10" s="16">
        <f>IFERROR(AVERAGE(C10:G10),"")</f>
        <v>273.66039999999998</v>
      </c>
      <c r="I10" s="16">
        <f>IFERROR(STDEV(C10:G10),"")</f>
        <v>7.6057475832425654</v>
      </c>
      <c r="J10" s="17">
        <v>28942.2</v>
      </c>
    </row>
    <row r="13" spans="1:10" ht="15" customHeight="1" x14ac:dyDescent="0.2">
      <c r="A13" s="2" t="s">
        <v>54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15" customHeight="1" x14ac:dyDescent="0.2">
      <c r="A14" s="12" t="s">
        <v>44</v>
      </c>
      <c r="B14" s="12" t="s">
        <v>66</v>
      </c>
      <c r="C14" s="12" t="s">
        <v>46</v>
      </c>
      <c r="D14" s="12" t="s">
        <v>47</v>
      </c>
      <c r="E14" s="12" t="s">
        <v>48</v>
      </c>
      <c r="F14" s="12" t="s">
        <v>49</v>
      </c>
      <c r="G14" s="12" t="s">
        <v>50</v>
      </c>
      <c r="H14" s="12" t="s">
        <v>51</v>
      </c>
      <c r="I14" s="12" t="s">
        <v>52</v>
      </c>
      <c r="J14" s="12" t="s">
        <v>53</v>
      </c>
    </row>
    <row r="15" spans="1:10" ht="15" customHeight="1" x14ac:dyDescent="0.2">
      <c r="A15" s="13">
        <v>1</v>
      </c>
      <c r="B15" s="26">
        <v>100</v>
      </c>
      <c r="C15" s="15">
        <v>2.9000000000000001E-2</v>
      </c>
      <c r="D15" s="15">
        <v>2.7E-2</v>
      </c>
      <c r="E15" s="15">
        <v>2.4E-2</v>
      </c>
      <c r="F15" s="15">
        <v>2.3E-2</v>
      </c>
      <c r="G15" s="15">
        <v>2.3E-2</v>
      </c>
      <c r="H15" s="16">
        <f>IFERROR(AVERAGE(C15:G15),"")</f>
        <v>2.52E-2</v>
      </c>
      <c r="I15" s="16">
        <f>IFERROR(STDEV(C15:G15),"")</f>
        <v>2.6832815729997479E-3</v>
      </c>
      <c r="J15" s="17">
        <v>6.83</v>
      </c>
    </row>
    <row r="16" spans="1:10" ht="15" customHeight="1" x14ac:dyDescent="0.2">
      <c r="A16" s="13">
        <v>2</v>
      </c>
      <c r="B16" s="26">
        <v>1000</v>
      </c>
      <c r="C16" s="15">
        <v>0.23699999999999999</v>
      </c>
      <c r="D16" s="15">
        <v>0.215</v>
      </c>
      <c r="E16" s="15">
        <v>0.216</v>
      </c>
      <c r="F16" s="15">
        <v>0.223</v>
      </c>
      <c r="G16" s="15">
        <v>0.23400000000000001</v>
      </c>
      <c r="H16" s="16">
        <f>IFERROR(AVERAGE(C16:G16),"")</f>
        <v>0.22500000000000001</v>
      </c>
      <c r="I16" s="16">
        <f>IFERROR(STDEV(C16:G16),"")</f>
        <v>1.0124228365658294E-2</v>
      </c>
      <c r="J16" s="17">
        <v>55.91</v>
      </c>
    </row>
    <row r="17" spans="1:10" ht="15" customHeight="1" x14ac:dyDescent="0.2">
      <c r="A17" s="13">
        <v>3</v>
      </c>
      <c r="B17" s="26">
        <v>10000</v>
      </c>
      <c r="C17" s="15">
        <v>2.2440000000000002</v>
      </c>
      <c r="D17" s="15">
        <v>2.2789999999999999</v>
      </c>
      <c r="E17" s="15">
        <v>2.331</v>
      </c>
      <c r="F17" s="15">
        <v>2.258</v>
      </c>
      <c r="G17" s="15">
        <v>2.3010000000000002</v>
      </c>
      <c r="H17" s="16">
        <f>IFERROR(AVERAGE(C17:G17),"")</f>
        <v>2.2825999999999995</v>
      </c>
      <c r="I17" s="16">
        <f>IFERROR(STDEV(C17:G17),"")</f>
        <v>3.4602023062242998E-2</v>
      </c>
      <c r="J17" s="17">
        <v>541.65</v>
      </c>
    </row>
    <row r="18" spans="1:10" ht="15" customHeight="1" x14ac:dyDescent="0.2">
      <c r="A18" s="13">
        <v>4</v>
      </c>
      <c r="B18" s="26">
        <v>100000</v>
      </c>
      <c r="C18" s="15">
        <v>23.422999999999998</v>
      </c>
      <c r="D18" s="15">
        <v>24.106999999999999</v>
      </c>
      <c r="E18" s="15">
        <v>22.695</v>
      </c>
      <c r="F18" s="15">
        <v>22.78</v>
      </c>
      <c r="G18" s="15">
        <v>24.795999999999999</v>
      </c>
      <c r="H18" s="16">
        <f>IFERROR(AVERAGE(C18:G18),"")</f>
        <v>23.560199999999998</v>
      </c>
      <c r="I18" s="16">
        <f>IFERROR(STDEV(C18:G18),"")</f>
        <v>0.89474840038974024</v>
      </c>
      <c r="J18" s="17">
        <v>5414.3</v>
      </c>
    </row>
    <row r="19" spans="1:10" ht="15" customHeight="1" x14ac:dyDescent="0.2">
      <c r="A19" s="13">
        <v>5</v>
      </c>
      <c r="B19" s="26">
        <v>1000000</v>
      </c>
      <c r="C19" s="15">
        <v>197.95599999999999</v>
      </c>
      <c r="D19" s="15">
        <v>197.50899999999999</v>
      </c>
      <c r="E19" s="15">
        <v>195.18199999999999</v>
      </c>
      <c r="F19" s="15">
        <v>195.93299999999999</v>
      </c>
      <c r="G19" s="15">
        <v>195.43600000000001</v>
      </c>
      <c r="H19" s="16">
        <f>IFERROR(AVERAGE(C19:G19),"")</f>
        <v>196.4032</v>
      </c>
      <c r="I19" s="16">
        <f>IFERROR(STDEV(C19:G19),"")</f>
        <v>1.2531834263187449</v>
      </c>
      <c r="J19" s="17">
        <v>48836.85</v>
      </c>
    </row>
    <row r="22" spans="1:10" ht="15" customHeight="1" x14ac:dyDescent="0.2">
      <c r="A22" s="1" t="s">
        <v>55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ht="64.5" customHeight="1" x14ac:dyDescent="0.2">
      <c r="A23" s="12" t="s">
        <v>66</v>
      </c>
      <c r="B23" s="12" t="s">
        <v>56</v>
      </c>
      <c r="C23" s="12" t="s">
        <v>57</v>
      </c>
      <c r="D23" s="12" t="s">
        <v>58</v>
      </c>
      <c r="E23" s="12" t="s">
        <v>59</v>
      </c>
      <c r="F23" s="12" t="s">
        <v>60</v>
      </c>
    </row>
    <row r="24" spans="1:10" ht="15" customHeight="1" x14ac:dyDescent="0.2">
      <c r="A24" s="27">
        <f>B6</f>
        <v>100</v>
      </c>
      <c r="B24" s="20">
        <f>H6</f>
        <v>2.98E-2</v>
      </c>
      <c r="C24" s="21">
        <f>H15</f>
        <v>2.52E-2</v>
      </c>
      <c r="D24" s="22">
        <f>J6</f>
        <v>6.84</v>
      </c>
      <c r="E24" s="23">
        <f>J15</f>
        <v>6.83</v>
      </c>
      <c r="F24" s="24">
        <f>IFERROR(C24/B24,"")</f>
        <v>0.84563758389261745</v>
      </c>
    </row>
    <row r="25" spans="1:10" ht="15" customHeight="1" x14ac:dyDescent="0.2">
      <c r="A25" s="27">
        <f>B7</f>
        <v>1000</v>
      </c>
      <c r="B25" s="20">
        <f>H7</f>
        <v>0.23220000000000002</v>
      </c>
      <c r="C25" s="21">
        <f>H16</f>
        <v>0.22500000000000001</v>
      </c>
      <c r="D25" s="22">
        <f>J7</f>
        <v>55.91</v>
      </c>
      <c r="E25" s="23">
        <f>J16</f>
        <v>55.91</v>
      </c>
      <c r="F25" s="24">
        <f>IFERROR(C25/B25,"")</f>
        <v>0.96899224806201545</v>
      </c>
    </row>
    <row r="26" spans="1:10" ht="15" customHeight="1" x14ac:dyDescent="0.2">
      <c r="A26" s="27">
        <f>B8</f>
        <v>10000</v>
      </c>
      <c r="B26" s="20">
        <f>H8</f>
        <v>2.5311999999999997</v>
      </c>
      <c r="C26" s="21">
        <f>H17</f>
        <v>2.2825999999999995</v>
      </c>
      <c r="D26" s="22">
        <f>J8</f>
        <v>443.4</v>
      </c>
      <c r="E26" s="23">
        <f>J17</f>
        <v>541.65</v>
      </c>
      <c r="F26" s="24">
        <f>IFERROR(C26/B26,"")</f>
        <v>0.90178571428571419</v>
      </c>
    </row>
    <row r="27" spans="1:10" ht="15" customHeight="1" x14ac:dyDescent="0.2">
      <c r="A27" s="27">
        <f>B9</f>
        <v>100000</v>
      </c>
      <c r="B27" s="20">
        <f>H9</f>
        <v>24.449000000000002</v>
      </c>
      <c r="C27" s="21">
        <f>H18</f>
        <v>23.560199999999998</v>
      </c>
      <c r="D27" s="22">
        <f>J9</f>
        <v>4115.3</v>
      </c>
      <c r="E27" s="23">
        <f>J18</f>
        <v>5414.3</v>
      </c>
      <c r="F27" s="24">
        <f>IFERROR(C27/B27,"")</f>
        <v>0.96364677491921946</v>
      </c>
    </row>
    <row r="28" spans="1:10" ht="15" customHeight="1" x14ac:dyDescent="0.2">
      <c r="A28" s="27">
        <f>B10</f>
        <v>1000000</v>
      </c>
      <c r="B28" s="20">
        <f>H10</f>
        <v>273.66039999999998</v>
      </c>
      <c r="C28" s="21">
        <f>H19</f>
        <v>196.4032</v>
      </c>
      <c r="D28" s="22">
        <f>J10</f>
        <v>28942.2</v>
      </c>
      <c r="E28" s="23">
        <f>J19</f>
        <v>48836.85</v>
      </c>
      <c r="F28" s="24">
        <f>IFERROR(C28/B28,"")</f>
        <v>0.7176895159109612</v>
      </c>
    </row>
  </sheetData>
  <mergeCells count="3">
    <mergeCell ref="A4:J4"/>
    <mergeCell ref="A13:J13"/>
    <mergeCell ref="A22:J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zoomScaleNormal="100" workbookViewId="0">
      <selection activeCell="C16" sqref="C16"/>
    </sheetView>
  </sheetViews>
  <sheetFormatPr baseColWidth="10" defaultColWidth="8.6640625" defaultRowHeight="15" x14ac:dyDescent="0.2"/>
  <cols>
    <col min="1" max="1" width="4" customWidth="1"/>
    <col min="2" max="3" width="22" customWidth="1"/>
    <col min="4" max="8" width="16" customWidth="1"/>
    <col min="9" max="9" width="18" customWidth="1"/>
  </cols>
  <sheetData>
    <row r="1" spans="1:9" ht="15.75" customHeight="1" x14ac:dyDescent="0.2">
      <c r="A1" s="10" t="s">
        <v>67</v>
      </c>
    </row>
    <row r="2" spans="1:9" ht="15" customHeight="1" x14ac:dyDescent="0.2">
      <c r="A2" s="11"/>
    </row>
    <row r="4" spans="1:9" ht="26.25" customHeight="1" x14ac:dyDescent="0.2">
      <c r="A4" s="12" t="s">
        <v>44</v>
      </c>
      <c r="B4" s="12" t="s">
        <v>68</v>
      </c>
      <c r="C4" s="12" t="s">
        <v>69</v>
      </c>
      <c r="D4" s="12" t="s">
        <v>70</v>
      </c>
      <c r="E4" s="12" t="s">
        <v>71</v>
      </c>
      <c r="F4" s="12" t="s">
        <v>72</v>
      </c>
      <c r="G4" s="12" t="s">
        <v>73</v>
      </c>
      <c r="H4" s="12" t="s">
        <v>74</v>
      </c>
      <c r="I4" s="12" t="s">
        <v>75</v>
      </c>
    </row>
    <row r="5" spans="1:9" ht="26.25" customHeight="1" x14ac:dyDescent="0.2">
      <c r="A5" s="13">
        <v>1</v>
      </c>
      <c r="B5" s="28" t="s">
        <v>76</v>
      </c>
      <c r="C5" s="13" t="s">
        <v>77</v>
      </c>
      <c r="D5" s="13">
        <v>8</v>
      </c>
      <c r="E5" s="16">
        <f>IFERROR(AVERAGE('3.1 — sel подзапроса'!B30:B37),"")</f>
        <v>0.23824999999999999</v>
      </c>
      <c r="F5" s="16">
        <f>IFERROR(AVERAGE('3.1 — sel подзапроса'!C30:C37),"")</f>
        <v>0.252525</v>
      </c>
      <c r="G5" s="24">
        <f>IFERROR(AVERAGE('3.1 — sel подзапроса'!D30:D37),"")</f>
        <v>55.791249999999991</v>
      </c>
      <c r="H5" s="24">
        <f>IFERROR(AVERAGE('3.1 — sel подзапроса'!E30:E37),"")</f>
        <v>55.916249999999991</v>
      </c>
      <c r="I5" s="24">
        <f>IFERROR(AVERAGE('3.1 — sel подзапроса'!F30:F37),"")</f>
        <v>1.0615047753913853</v>
      </c>
    </row>
    <row r="6" spans="1:9" ht="26.25" customHeight="1" x14ac:dyDescent="0.2">
      <c r="A6" s="13">
        <v>2</v>
      </c>
      <c r="B6" s="28" t="s">
        <v>78</v>
      </c>
      <c r="C6" s="13" t="s">
        <v>79</v>
      </c>
      <c r="D6" s="13">
        <v>8</v>
      </c>
      <c r="E6" s="16">
        <f>IFERROR(AVERAGE('3.2 — sel внешней'!B30:B37),"")</f>
        <v>0.2777</v>
      </c>
      <c r="F6" s="16">
        <f>IFERROR(AVERAGE('3.2 — sel внешней'!C30:C37),"")</f>
        <v>0.32714999999999994</v>
      </c>
      <c r="G6" s="24">
        <f>IFERROR(AVERAGE('3.2 — sel внешней'!D30:D37),"")</f>
        <v>55.534999999999982</v>
      </c>
      <c r="H6" s="24">
        <f>IFERROR(AVERAGE('3.2 — sel внешней'!E30:E37),"")</f>
        <v>55.409999999999982</v>
      </c>
      <c r="I6" s="24">
        <f>IFERROR(AVERAGE('3.2 — sel внешней'!F30:F37),"")</f>
        <v>1.2689805803193004</v>
      </c>
    </row>
    <row r="7" spans="1:9" ht="26.25" customHeight="1" x14ac:dyDescent="0.2">
      <c r="A7" s="13">
        <v>3</v>
      </c>
      <c r="B7" s="28" t="s">
        <v>80</v>
      </c>
      <c r="C7" s="13" t="s">
        <v>81</v>
      </c>
      <c r="D7" s="13">
        <v>5</v>
      </c>
      <c r="E7" s="16">
        <f>IFERROR(AVERAGE('3.3 — количество'!B24:B28),"")</f>
        <v>60.180520000000001</v>
      </c>
      <c r="F7" s="16">
        <f>IFERROR(AVERAGE('3.3 — количество'!C24:C28),"")</f>
        <v>44.49924</v>
      </c>
      <c r="G7" s="24">
        <f>IFERROR(AVERAGE('3.3 — количество'!D24:D28),"")</f>
        <v>6712.7300000000005</v>
      </c>
      <c r="H7" s="24">
        <f>IFERROR(AVERAGE('3.3 — количество'!E24:E28),"")</f>
        <v>10971.108</v>
      </c>
      <c r="I7" s="24">
        <f>IFERROR(AVERAGE('3.3 — количество'!F24:F28),"")</f>
        <v>0.87955036741410542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Параметры</vt:lpstr>
      <vt:lpstr>3.1 — sel подзапроса</vt:lpstr>
      <vt:lpstr>3.2 — sel внешней</vt:lpstr>
      <vt:lpstr>3.3 — количество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Dmitriy Permyakov</cp:lastModifiedBy>
  <cp:revision>2</cp:revision>
  <dcterms:created xsi:type="dcterms:W3CDTF">2026-05-18T00:36:02Z</dcterms:created>
  <dcterms:modified xsi:type="dcterms:W3CDTF">2026-05-18T19:33:11Z</dcterms:modified>
  <dc:language>en-US</dc:language>
</cp:coreProperties>
</file>